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odInsight\"/>
    </mc:Choice>
  </mc:AlternateContent>
  <xr:revisionPtr revIDLastSave="0" documentId="8_{AC663631-56A4-4DE6-8A53-D207909DDCC9}" xr6:coauthVersionLast="47" xr6:coauthVersionMax="47" xr10:uidLastSave="{00000000-0000-0000-0000-000000000000}"/>
  <bookViews>
    <workbookView xWindow="-108" yWindow="-108" windowWidth="23256" windowHeight="12456" xr2:uid="{149DEA10-29FD-4B64-BDCC-8C4EB4EB8CCB}"/>
  </bookViews>
  <sheets>
    <sheet name="Compras" sheetId="1" r:id="rId1"/>
    <sheet name="Indicad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O3" i="1"/>
  <c r="O6" i="1"/>
  <c r="O70" i="1"/>
  <c r="O83" i="1"/>
  <c r="N3" i="1"/>
  <c r="N2" i="1"/>
  <c r="O2" i="1" s="1"/>
  <c r="N4" i="1"/>
  <c r="O4" i="1" s="1"/>
  <c r="N5" i="1"/>
  <c r="O5" i="1" s="1"/>
  <c r="N6" i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F17" i="2" s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K101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38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7" i="1"/>
  <c r="K6" i="1"/>
  <c r="K5" i="1"/>
  <c r="K4" i="1"/>
  <c r="K3" i="1"/>
  <c r="K2" i="1"/>
  <c r="F10" i="2" l="1"/>
  <c r="F19" i="2"/>
  <c r="J16" i="2"/>
  <c r="E10" i="2"/>
  <c r="I16" i="2"/>
  <c r="F9" i="2"/>
  <c r="F22" i="2"/>
  <c r="B3" i="2"/>
  <c r="E23" i="2"/>
  <c r="F25" i="2"/>
  <c r="I10" i="2"/>
  <c r="F4" i="2"/>
  <c r="E24" i="2"/>
  <c r="E5" i="2"/>
  <c r="F16" i="2"/>
  <c r="F18" i="2"/>
  <c r="I18" i="2"/>
  <c r="E7" i="2"/>
  <c r="E6" i="2"/>
  <c r="I11" i="2"/>
  <c r="I17" i="2"/>
  <c r="E22" i="2"/>
  <c r="F24" i="2"/>
  <c r="E21" i="2"/>
  <c r="H5" i="2"/>
  <c r="J9" i="2"/>
  <c r="J18" i="2"/>
  <c r="E20" i="2"/>
  <c r="E9" i="2"/>
  <c r="J12" i="2"/>
  <c r="J17" i="2"/>
  <c r="E19" i="2"/>
  <c r="F21" i="2"/>
  <c r="F23" i="2"/>
  <c r="J11" i="2"/>
  <c r="E16" i="2"/>
  <c r="E18" i="2"/>
  <c r="F20" i="2"/>
  <c r="J10" i="2"/>
  <c r="E25" i="2"/>
  <c r="E17" i="2"/>
  <c r="E8" i="2"/>
  <c r="I9" i="2"/>
  <c r="I12" i="2"/>
  <c r="E4" i="2"/>
  <c r="F8" i="2"/>
  <c r="B8" i="2"/>
  <c r="B4" i="2"/>
  <c r="B5" i="2" s="1"/>
  <c r="F7" i="2"/>
  <c r="F6" i="2"/>
  <c r="F5" i="2"/>
  <c r="B7" i="2"/>
  <c r="H7" i="2" l="1"/>
  <c r="H6" i="2"/>
  <c r="H4" i="2"/>
</calcChain>
</file>

<file path=xl/sharedStrings.xml><?xml version="1.0" encoding="utf-8"?>
<sst xmlns="http://schemas.openxmlformats.org/spreadsheetml/2006/main" count="558" uniqueCount="64">
  <si>
    <t>ID</t>
  </si>
  <si>
    <t>Data</t>
  </si>
  <si>
    <t>Produto</t>
  </si>
  <si>
    <t>Categoria</t>
  </si>
  <si>
    <t>Quantidade</t>
  </si>
  <si>
    <t>Preço Unitário</t>
  </si>
  <si>
    <t>Supermercado</t>
  </si>
  <si>
    <t>Data de validade</t>
  </si>
  <si>
    <t>Consumido</t>
  </si>
  <si>
    <t>Desperdiçado</t>
  </si>
  <si>
    <t>Valor Total</t>
  </si>
  <si>
    <t>Arroz</t>
  </si>
  <si>
    <t>Grãos</t>
  </si>
  <si>
    <t>Mercado Central</t>
  </si>
  <si>
    <t>Sim</t>
  </si>
  <si>
    <t>Não</t>
  </si>
  <si>
    <t>Leite</t>
  </si>
  <si>
    <t>Laticínios</t>
  </si>
  <si>
    <t>Bom Preço</t>
  </si>
  <si>
    <t>Frango</t>
  </si>
  <si>
    <t>Carnes</t>
  </si>
  <si>
    <t>Mercado Brasil</t>
  </si>
  <si>
    <t>Banana</t>
  </si>
  <si>
    <t>Frutas</t>
  </si>
  <si>
    <t xml:space="preserve">Sim </t>
  </si>
  <si>
    <t>Pão</t>
  </si>
  <si>
    <t>Padaria</t>
  </si>
  <si>
    <t>Econômico</t>
  </si>
  <si>
    <t>Feijão</t>
  </si>
  <si>
    <t>Macarrão</t>
  </si>
  <si>
    <t>Tomate</t>
  </si>
  <si>
    <t>Legumes</t>
  </si>
  <si>
    <t>Maçã</t>
  </si>
  <si>
    <t>Iogurte</t>
  </si>
  <si>
    <t>Carne bovina</t>
  </si>
  <si>
    <t>Cenoura</t>
  </si>
  <si>
    <t>Ovos</t>
  </si>
  <si>
    <t>Café</t>
  </si>
  <si>
    <t>Bebidas</t>
  </si>
  <si>
    <t>Alface</t>
  </si>
  <si>
    <t>Laranja</t>
  </si>
  <si>
    <t>Batata</t>
  </si>
  <si>
    <t>Morango</t>
  </si>
  <si>
    <t>Queijo</t>
  </si>
  <si>
    <t>Peixe</t>
  </si>
  <si>
    <t>Mês</t>
  </si>
  <si>
    <t>Status</t>
  </si>
  <si>
    <t>Dias até validade</t>
  </si>
  <si>
    <t>Faixa de validade</t>
  </si>
  <si>
    <t>INDICADORES DE CONSUMO E DESPERDÍCIO</t>
  </si>
  <si>
    <t>Total gasto</t>
  </si>
  <si>
    <t>Valor desperdiçado</t>
  </si>
  <si>
    <t>Percentual Desperdiçado</t>
  </si>
  <si>
    <t>Quantidade de itens</t>
  </si>
  <si>
    <t>Itens desperdiçados</t>
  </si>
  <si>
    <t>Itens consumidos</t>
  </si>
  <si>
    <t>Legume</t>
  </si>
  <si>
    <t>Itens Desperdiçados</t>
  </si>
  <si>
    <t>Faixa de Validade</t>
  </si>
  <si>
    <t>Valor Desperdiçado</t>
  </si>
  <si>
    <t>Até 7 dias</t>
  </si>
  <si>
    <t>8 a 30 dias</t>
  </si>
  <si>
    <t>Mais de 30 dias</t>
  </si>
  <si>
    <t>Carne Bovina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</si>
</sst>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19" formatCode="dd/mm/yyyy"/>
    </dxf>
    <dxf>
      <numFmt numFmtId="164" formatCode="&quot;R$&quot;\ 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7FF819-D76A-44A0-A424-E976A964BCB4}" name="Tabela1" displayName="Tabela1" ref="A1:O101" totalsRowShown="0">
  <autoFilter ref="A1:O101" xr:uid="{CA7FF819-D76A-44A0-A424-E976A964BCB4}"/>
  <tableColumns count="15">
    <tableColumn id="1" xr3:uid="{4D2D5ABB-32DE-4FEA-84DB-4CB08C164550}" name="ID"/>
    <tableColumn id="2" xr3:uid="{CE20EC7C-C82E-43CF-A4CF-9ACE388FC41D}" name="Data" dataDxfId="7"/>
    <tableColumn id="3" xr3:uid="{A9EB2B9D-F1AE-4161-AA99-C7D20D8FA911}" name="Produto"/>
    <tableColumn id="4" xr3:uid="{A6603850-AAD5-46E0-B2DA-E6C4DDFC5203}" name="Categoria"/>
    <tableColumn id="5" xr3:uid="{EAF180E0-93E4-4415-8CCD-DC9F1970186B}" name="Quantidade"/>
    <tableColumn id="6" xr3:uid="{88375E79-6DD3-49EB-AD93-28D9FE60CFD1}" name="Preço Unitário" dataDxfId="6"/>
    <tableColumn id="7" xr3:uid="{30FDBC8C-F78F-40E9-9AA2-2947FAAC2FDD}" name="Supermercado"/>
    <tableColumn id="8" xr3:uid="{9D2516CF-7F42-4E10-8ADE-BC8835CBFC4D}" name="Data de validade" dataDxfId="5"/>
    <tableColumn id="9" xr3:uid="{882387F3-92DB-46D5-9410-9D8C5E666954}" name="Consumido"/>
    <tableColumn id="10" xr3:uid="{39F15586-FEB0-4762-919A-BFB88F3E0813}" name="Desperdiçado"/>
    <tableColumn id="11" xr3:uid="{3374DB46-0F51-4D1D-BC02-4E3C17617ACC}" name="Valor Total" dataDxfId="4">
      <calculatedColumnFormula>E2*F2</calculatedColumnFormula>
    </tableColumn>
    <tableColumn id="12" xr3:uid="{F903847C-9B36-4089-ABCE-48C365FFCD89}" name="Mês" dataDxfId="3">
      <calculatedColumnFormula>TEXT(B2,"mmmm")</calculatedColumnFormula>
    </tableColumn>
    <tableColumn id="13" xr3:uid="{1D8F773C-0B33-4AF7-BB72-B83A6892C0B4}" name="Status" dataDxfId="2">
      <calculatedColumnFormula>IF(J2="Sim","Desperdiçado","Consumido")</calculatedColumnFormula>
    </tableColumn>
    <tableColumn id="14" xr3:uid="{B1BAD7F9-99F0-493B-A4E0-1F8F2FC6208E}" name="Dias até validade" dataDxfId="1">
      <calculatedColumnFormula>H2-B2</calculatedColumnFormula>
    </tableColumn>
    <tableColumn id="15" xr3:uid="{F4B13AC8-4E3D-4FCC-9BAA-EC9EBD760E52}" name="Faixa de validade" dataDxfId="0">
      <calculatedColumnFormula>IF(N2&lt;=7,"Até 7 dias",IF(N2&lt;=30,"8 a 30 dias","Mais de 30 dias"))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BFA9-E356-4B47-B07A-0D8B8C881C63}">
  <dimension ref="A1:O101"/>
  <sheetViews>
    <sheetView tabSelected="1" workbookViewId="0">
      <selection activeCell="J6" sqref="J6"/>
    </sheetView>
  </sheetViews>
  <sheetFormatPr defaultRowHeight="14.4" x14ac:dyDescent="0.3"/>
  <cols>
    <col min="2" max="2" width="11.5546875" bestFit="1" customWidth="1"/>
    <col min="3" max="3" width="9.21875" customWidth="1"/>
    <col min="4" max="4" width="10.6640625" customWidth="1"/>
    <col min="5" max="5" width="12.21875" customWidth="1"/>
    <col min="6" max="6" width="14.33203125" customWidth="1"/>
    <col min="7" max="7" width="14.77734375" customWidth="1"/>
    <col min="8" max="8" width="16" customWidth="1"/>
    <col min="9" max="9" width="12" customWidth="1"/>
    <col min="10" max="10" width="14.109375" customWidth="1"/>
    <col min="11" max="11" width="11.33203125" customWidth="1"/>
    <col min="13" max="13" width="12.21875" bestFit="1" customWidth="1"/>
    <col min="14" max="14" width="17.5546875" bestFit="1" customWidth="1"/>
    <col min="15" max="15" width="17.77734375" bestFit="1" customWidth="1"/>
  </cols>
  <sheetData>
    <row r="1" spans="1:1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s="1" t="s">
        <v>7</v>
      </c>
      <c r="I1" t="s">
        <v>8</v>
      </c>
      <c r="J1" t="s">
        <v>9</v>
      </c>
      <c r="K1" s="2" t="s">
        <v>10</v>
      </c>
      <c r="L1" t="s">
        <v>45</v>
      </c>
      <c r="M1" t="s">
        <v>46</v>
      </c>
      <c r="N1" t="s">
        <v>47</v>
      </c>
      <c r="O1" t="s">
        <v>48</v>
      </c>
    </row>
    <row r="2" spans="1:15" x14ac:dyDescent="0.3">
      <c r="A2">
        <v>1</v>
      </c>
      <c r="B2" s="1">
        <v>46027</v>
      </c>
      <c r="C2" t="s">
        <v>11</v>
      </c>
      <c r="D2" t="s">
        <v>12</v>
      </c>
      <c r="E2">
        <v>2</v>
      </c>
      <c r="F2" s="2">
        <v>6.5</v>
      </c>
      <c r="G2" t="s">
        <v>13</v>
      </c>
      <c r="H2" s="1">
        <v>46208</v>
      </c>
      <c r="I2" t="s">
        <v>14</v>
      </c>
      <c r="J2" t="s">
        <v>15</v>
      </c>
      <c r="K2" s="2">
        <f>E2*F2</f>
        <v>13</v>
      </c>
      <c r="L2" t="str">
        <f t="shared" ref="L2:L33" si="0">TEXT(B2,"mmmm")</f>
        <v>janeiro</v>
      </c>
      <c r="M2" t="str">
        <f>IF(J2="Sim","Desperdiçado","Consumido")</f>
        <v>Consumido</v>
      </c>
      <c r="N2">
        <f t="shared" ref="N2:N33" si="1">H2-B2</f>
        <v>181</v>
      </c>
      <c r="O2" s="3" t="str">
        <f t="shared" ref="O2:O33" si="2">IF(N2&lt;=7,"Até 7 dias",IF(N2&lt;=30,"8 a 30 dias","Mais de 30 dias"))</f>
        <v>Mais de 30 dias</v>
      </c>
    </row>
    <row r="3" spans="1:15" x14ac:dyDescent="0.3">
      <c r="A3">
        <v>2</v>
      </c>
      <c r="B3" s="1">
        <v>46027</v>
      </c>
      <c r="C3" t="s">
        <v>16</v>
      </c>
      <c r="D3" t="s">
        <v>17</v>
      </c>
      <c r="E3">
        <v>3</v>
      </c>
      <c r="F3" s="2">
        <v>5.2</v>
      </c>
      <c r="G3" t="s">
        <v>18</v>
      </c>
      <c r="H3" s="1">
        <v>46037</v>
      </c>
      <c r="I3" t="s">
        <v>14</v>
      </c>
      <c r="J3" t="s">
        <v>15</v>
      </c>
      <c r="K3" s="2">
        <f>E3*F3</f>
        <v>15.600000000000001</v>
      </c>
      <c r="L3" t="str">
        <f t="shared" si="0"/>
        <v>janeiro</v>
      </c>
      <c r="M3" t="str">
        <f t="shared" ref="M2:M33" si="3">IF(J3="Sim","Desperdiçado","Consumido")</f>
        <v>Consumido</v>
      </c>
      <c r="N3">
        <f>H3-B3</f>
        <v>10</v>
      </c>
      <c r="O3" s="3" t="str">
        <f t="shared" si="2"/>
        <v>8 a 30 dias</v>
      </c>
    </row>
    <row r="4" spans="1:15" x14ac:dyDescent="0.3">
      <c r="A4">
        <v>3</v>
      </c>
      <c r="B4" s="1">
        <v>46028</v>
      </c>
      <c r="C4" t="s">
        <v>19</v>
      </c>
      <c r="D4" t="s">
        <v>20</v>
      </c>
      <c r="E4">
        <v>2</v>
      </c>
      <c r="F4" s="2">
        <v>14.9</v>
      </c>
      <c r="G4" t="s">
        <v>21</v>
      </c>
      <c r="H4" s="1">
        <v>46032</v>
      </c>
      <c r="I4" t="s">
        <v>14</v>
      </c>
      <c r="J4" t="s">
        <v>15</v>
      </c>
      <c r="K4" s="2">
        <f>E4*F4</f>
        <v>29.8</v>
      </c>
      <c r="L4" t="str">
        <f t="shared" si="0"/>
        <v>janeiro</v>
      </c>
      <c r="M4" t="str">
        <f t="shared" si="3"/>
        <v>Consumido</v>
      </c>
      <c r="N4">
        <f t="shared" si="1"/>
        <v>4</v>
      </c>
      <c r="O4" s="3" t="str">
        <f t="shared" si="2"/>
        <v>Até 7 dias</v>
      </c>
    </row>
    <row r="5" spans="1:15" x14ac:dyDescent="0.3">
      <c r="A5">
        <v>4</v>
      </c>
      <c r="B5" s="1">
        <v>46029</v>
      </c>
      <c r="C5" t="s">
        <v>22</v>
      </c>
      <c r="D5" t="s">
        <v>23</v>
      </c>
      <c r="E5">
        <v>6</v>
      </c>
      <c r="F5" s="2">
        <v>1.2</v>
      </c>
      <c r="G5" t="s">
        <v>13</v>
      </c>
      <c r="H5" s="1">
        <v>46032</v>
      </c>
      <c r="I5" t="s">
        <v>24</v>
      </c>
      <c r="J5" t="s">
        <v>15</v>
      </c>
      <c r="K5" s="2">
        <f>E5*F5</f>
        <v>7.1999999999999993</v>
      </c>
      <c r="L5" t="str">
        <f t="shared" si="0"/>
        <v>janeiro</v>
      </c>
      <c r="M5" t="str">
        <f t="shared" si="3"/>
        <v>Consumido</v>
      </c>
      <c r="N5">
        <f t="shared" si="1"/>
        <v>3</v>
      </c>
      <c r="O5" s="3" t="str">
        <f t="shared" si="2"/>
        <v>Até 7 dias</v>
      </c>
    </row>
    <row r="6" spans="1:15" x14ac:dyDescent="0.3">
      <c r="A6">
        <v>5</v>
      </c>
      <c r="B6" s="1">
        <v>46030</v>
      </c>
      <c r="C6" t="s">
        <v>25</v>
      </c>
      <c r="D6" t="s">
        <v>26</v>
      </c>
      <c r="E6">
        <v>2</v>
      </c>
      <c r="F6" s="2">
        <v>8.5</v>
      </c>
      <c r="G6" t="s">
        <v>27</v>
      </c>
      <c r="H6" s="1">
        <v>46032</v>
      </c>
      <c r="I6" t="s">
        <v>15</v>
      </c>
      <c r="J6" t="s">
        <v>14</v>
      </c>
      <c r="K6" s="2">
        <f>E6*F6</f>
        <v>17</v>
      </c>
      <c r="L6" t="str">
        <f t="shared" si="0"/>
        <v>janeiro</v>
      </c>
      <c r="M6" t="str">
        <f t="shared" si="3"/>
        <v>Desperdiçado</v>
      </c>
      <c r="N6">
        <f t="shared" si="1"/>
        <v>2</v>
      </c>
      <c r="O6" s="3" t="str">
        <f t="shared" si="2"/>
        <v>Até 7 dias</v>
      </c>
    </row>
    <row r="7" spans="1:15" x14ac:dyDescent="0.3">
      <c r="A7">
        <v>6</v>
      </c>
      <c r="B7" s="1">
        <v>46032</v>
      </c>
      <c r="C7" t="s">
        <v>28</v>
      </c>
      <c r="D7" t="s">
        <v>12</v>
      </c>
      <c r="E7">
        <v>2</v>
      </c>
      <c r="F7" s="2">
        <v>7.5</v>
      </c>
      <c r="G7" t="s">
        <v>18</v>
      </c>
      <c r="H7" s="1">
        <v>46213</v>
      </c>
      <c r="I7" t="s">
        <v>24</v>
      </c>
      <c r="J7" t="s">
        <v>15</v>
      </c>
      <c r="K7" s="2">
        <f>E7*F7</f>
        <v>15</v>
      </c>
      <c r="L7" t="str">
        <f t="shared" si="0"/>
        <v>janeiro</v>
      </c>
      <c r="M7" t="str">
        <f t="shared" si="3"/>
        <v>Consumido</v>
      </c>
      <c r="N7">
        <f t="shared" si="1"/>
        <v>181</v>
      </c>
      <c r="O7" s="3" t="str">
        <f t="shared" si="2"/>
        <v>Mais de 30 dias</v>
      </c>
    </row>
    <row r="8" spans="1:15" x14ac:dyDescent="0.3">
      <c r="A8">
        <v>7</v>
      </c>
      <c r="B8" s="1">
        <v>46034</v>
      </c>
      <c r="C8" t="s">
        <v>29</v>
      </c>
      <c r="D8" t="s">
        <v>12</v>
      </c>
      <c r="E8">
        <v>2</v>
      </c>
      <c r="F8" s="2">
        <v>4.5</v>
      </c>
      <c r="G8" t="s">
        <v>13</v>
      </c>
      <c r="H8" s="1">
        <v>46223</v>
      </c>
      <c r="I8" t="s">
        <v>14</v>
      </c>
      <c r="J8" t="s">
        <v>15</v>
      </c>
      <c r="K8" s="2">
        <f t="shared" ref="K8:K22" si="4">E8*F8</f>
        <v>9</v>
      </c>
      <c r="L8" t="str">
        <f t="shared" si="0"/>
        <v>janeiro</v>
      </c>
      <c r="M8" t="str">
        <f t="shared" si="3"/>
        <v>Consumido</v>
      </c>
      <c r="N8">
        <f t="shared" si="1"/>
        <v>189</v>
      </c>
      <c r="O8" s="3" t="str">
        <f t="shared" si="2"/>
        <v>Mais de 30 dias</v>
      </c>
    </row>
    <row r="9" spans="1:15" x14ac:dyDescent="0.3">
      <c r="A9">
        <v>8</v>
      </c>
      <c r="B9" s="1">
        <v>46036</v>
      </c>
      <c r="C9" t="s">
        <v>30</v>
      </c>
      <c r="D9" t="s">
        <v>31</v>
      </c>
      <c r="E9">
        <v>4</v>
      </c>
      <c r="F9" s="2">
        <v>3.5</v>
      </c>
      <c r="G9" t="s">
        <v>18</v>
      </c>
      <c r="H9" s="1">
        <v>46040</v>
      </c>
      <c r="I9" t="s">
        <v>14</v>
      </c>
      <c r="J9" t="s">
        <v>15</v>
      </c>
      <c r="K9" s="2">
        <f t="shared" si="4"/>
        <v>14</v>
      </c>
      <c r="L9" t="str">
        <f t="shared" si="0"/>
        <v>janeiro</v>
      </c>
      <c r="M9" t="str">
        <f t="shared" si="3"/>
        <v>Consumido</v>
      </c>
      <c r="N9">
        <f t="shared" si="1"/>
        <v>4</v>
      </c>
      <c r="O9" s="3" t="str">
        <f t="shared" si="2"/>
        <v>Até 7 dias</v>
      </c>
    </row>
    <row r="10" spans="1:15" x14ac:dyDescent="0.3">
      <c r="A10">
        <v>9</v>
      </c>
      <c r="B10" s="1">
        <v>46038</v>
      </c>
      <c r="C10" t="s">
        <v>32</v>
      </c>
      <c r="D10" t="s">
        <v>23</v>
      </c>
      <c r="E10">
        <v>5</v>
      </c>
      <c r="F10" s="2">
        <v>1.8</v>
      </c>
      <c r="G10" t="s">
        <v>21</v>
      </c>
      <c r="H10" s="1">
        <v>46047</v>
      </c>
      <c r="I10" t="s">
        <v>14</v>
      </c>
      <c r="J10" t="s">
        <v>15</v>
      </c>
      <c r="K10" s="2">
        <f t="shared" si="4"/>
        <v>9</v>
      </c>
      <c r="L10" t="str">
        <f t="shared" si="0"/>
        <v>janeiro</v>
      </c>
      <c r="M10" t="str">
        <f t="shared" si="3"/>
        <v>Consumido</v>
      </c>
      <c r="N10">
        <f t="shared" si="1"/>
        <v>9</v>
      </c>
      <c r="O10" s="3" t="str">
        <f t="shared" si="2"/>
        <v>8 a 30 dias</v>
      </c>
    </row>
    <row r="11" spans="1:15" x14ac:dyDescent="0.3">
      <c r="A11">
        <v>10</v>
      </c>
      <c r="B11" s="1">
        <v>46040</v>
      </c>
      <c r="C11" t="s">
        <v>33</v>
      </c>
      <c r="D11" t="s">
        <v>17</v>
      </c>
      <c r="E11">
        <v>4</v>
      </c>
      <c r="F11" s="2">
        <v>3.9</v>
      </c>
      <c r="G11" t="s">
        <v>27</v>
      </c>
      <c r="H11" s="1">
        <v>46050</v>
      </c>
      <c r="I11" t="s">
        <v>14</v>
      </c>
      <c r="J11" t="s">
        <v>15</v>
      </c>
      <c r="K11" s="2">
        <f t="shared" si="4"/>
        <v>15.6</v>
      </c>
      <c r="L11" t="str">
        <f t="shared" si="0"/>
        <v>janeiro</v>
      </c>
      <c r="M11" t="str">
        <f t="shared" si="3"/>
        <v>Consumido</v>
      </c>
      <c r="N11">
        <f t="shared" si="1"/>
        <v>10</v>
      </c>
      <c r="O11" s="3" t="str">
        <f t="shared" si="2"/>
        <v>8 a 30 dias</v>
      </c>
    </row>
    <row r="12" spans="1:15" x14ac:dyDescent="0.3">
      <c r="A12">
        <v>11</v>
      </c>
      <c r="B12" s="1">
        <v>46042</v>
      </c>
      <c r="C12" t="s">
        <v>34</v>
      </c>
      <c r="D12" t="s">
        <v>20</v>
      </c>
      <c r="E12">
        <v>1</v>
      </c>
      <c r="F12" s="2">
        <v>32.9</v>
      </c>
      <c r="G12" t="s">
        <v>13</v>
      </c>
      <c r="H12" s="1">
        <v>46047</v>
      </c>
      <c r="I12" t="s">
        <v>14</v>
      </c>
      <c r="J12" t="s">
        <v>15</v>
      </c>
      <c r="K12" s="2">
        <f t="shared" si="4"/>
        <v>32.9</v>
      </c>
      <c r="L12" t="str">
        <f t="shared" si="0"/>
        <v>janeiro</v>
      </c>
      <c r="M12" t="str">
        <f t="shared" si="3"/>
        <v>Consumido</v>
      </c>
      <c r="N12">
        <f t="shared" si="1"/>
        <v>5</v>
      </c>
      <c r="O12" s="3" t="str">
        <f t="shared" si="2"/>
        <v>Até 7 dias</v>
      </c>
    </row>
    <row r="13" spans="1:15" x14ac:dyDescent="0.3">
      <c r="A13">
        <v>12</v>
      </c>
      <c r="B13" s="1">
        <v>46044</v>
      </c>
      <c r="C13" t="s">
        <v>35</v>
      </c>
      <c r="D13" t="s">
        <v>31</v>
      </c>
      <c r="E13">
        <v>3</v>
      </c>
      <c r="F13" s="2">
        <v>2.8</v>
      </c>
      <c r="G13" t="s">
        <v>18</v>
      </c>
      <c r="H13" s="1">
        <v>46052</v>
      </c>
      <c r="I13" t="s">
        <v>14</v>
      </c>
      <c r="J13" t="s">
        <v>15</v>
      </c>
      <c r="K13" s="2">
        <f t="shared" si="4"/>
        <v>8.3999999999999986</v>
      </c>
      <c r="L13" t="str">
        <f t="shared" si="0"/>
        <v>janeiro</v>
      </c>
      <c r="M13" t="str">
        <f t="shared" si="3"/>
        <v>Consumido</v>
      </c>
      <c r="N13">
        <f t="shared" si="1"/>
        <v>8</v>
      </c>
      <c r="O13" s="3" t="str">
        <f t="shared" si="2"/>
        <v>8 a 30 dias</v>
      </c>
    </row>
    <row r="14" spans="1:15" x14ac:dyDescent="0.3">
      <c r="A14">
        <v>13</v>
      </c>
      <c r="B14" s="1">
        <v>46046</v>
      </c>
      <c r="C14" t="s">
        <v>36</v>
      </c>
      <c r="D14" t="s">
        <v>17</v>
      </c>
      <c r="E14">
        <v>12</v>
      </c>
      <c r="F14" s="2">
        <v>0.9</v>
      </c>
      <c r="G14" t="s">
        <v>21</v>
      </c>
      <c r="H14" s="1">
        <v>46058</v>
      </c>
      <c r="I14" t="s">
        <v>14</v>
      </c>
      <c r="J14" t="s">
        <v>15</v>
      </c>
      <c r="K14" s="2">
        <f t="shared" si="4"/>
        <v>10.8</v>
      </c>
      <c r="L14" t="str">
        <f t="shared" si="0"/>
        <v>janeiro</v>
      </c>
      <c r="M14" t="str">
        <f t="shared" si="3"/>
        <v>Consumido</v>
      </c>
      <c r="N14">
        <f t="shared" si="1"/>
        <v>12</v>
      </c>
      <c r="O14" s="3" t="str">
        <f t="shared" si="2"/>
        <v>8 a 30 dias</v>
      </c>
    </row>
    <row r="15" spans="1:15" x14ac:dyDescent="0.3">
      <c r="A15">
        <v>14</v>
      </c>
      <c r="B15" s="1">
        <v>46047</v>
      </c>
      <c r="C15" t="s">
        <v>37</v>
      </c>
      <c r="D15" t="s">
        <v>38</v>
      </c>
      <c r="E15">
        <v>2</v>
      </c>
      <c r="F15" s="2">
        <v>16.899999999999999</v>
      </c>
      <c r="G15" t="s">
        <v>27</v>
      </c>
      <c r="H15" s="1">
        <v>46228</v>
      </c>
      <c r="I15" t="s">
        <v>14</v>
      </c>
      <c r="J15" t="s">
        <v>15</v>
      </c>
      <c r="K15" s="2">
        <f t="shared" si="4"/>
        <v>33.799999999999997</v>
      </c>
      <c r="L15" t="str">
        <f t="shared" si="0"/>
        <v>janeiro</v>
      </c>
      <c r="M15" t="str">
        <f t="shared" si="3"/>
        <v>Consumido</v>
      </c>
      <c r="N15">
        <f t="shared" si="1"/>
        <v>181</v>
      </c>
      <c r="O15" s="3" t="str">
        <f t="shared" si="2"/>
        <v>Mais de 30 dias</v>
      </c>
    </row>
    <row r="16" spans="1:15" x14ac:dyDescent="0.3">
      <c r="A16">
        <v>15</v>
      </c>
      <c r="B16" s="1">
        <v>46049</v>
      </c>
      <c r="C16" t="s">
        <v>39</v>
      </c>
      <c r="D16" t="s">
        <v>31</v>
      </c>
      <c r="E16">
        <v>2</v>
      </c>
      <c r="F16" s="2">
        <v>3.2</v>
      </c>
      <c r="G16" t="s">
        <v>13</v>
      </c>
      <c r="H16" s="1">
        <v>46052</v>
      </c>
      <c r="I16" t="s">
        <v>15</v>
      </c>
      <c r="J16" t="s">
        <v>14</v>
      </c>
      <c r="K16" s="2">
        <f t="shared" si="4"/>
        <v>6.4</v>
      </c>
      <c r="L16" t="str">
        <f t="shared" si="0"/>
        <v>janeiro</v>
      </c>
      <c r="M16" t="str">
        <f t="shared" si="3"/>
        <v>Desperdiçado</v>
      </c>
      <c r="N16">
        <f t="shared" si="1"/>
        <v>3</v>
      </c>
      <c r="O16" s="3" t="str">
        <f t="shared" si="2"/>
        <v>Até 7 dias</v>
      </c>
    </row>
    <row r="17" spans="1:15" x14ac:dyDescent="0.3">
      <c r="A17">
        <v>16</v>
      </c>
      <c r="B17" s="1">
        <v>46051</v>
      </c>
      <c r="C17" t="s">
        <v>19</v>
      </c>
      <c r="D17" t="s">
        <v>20</v>
      </c>
      <c r="E17">
        <v>2</v>
      </c>
      <c r="F17" s="2">
        <v>15.9</v>
      </c>
      <c r="G17" t="s">
        <v>18</v>
      </c>
      <c r="H17" s="1">
        <v>46056</v>
      </c>
      <c r="I17" t="s">
        <v>14</v>
      </c>
      <c r="J17" t="s">
        <v>15</v>
      </c>
      <c r="K17" s="2">
        <f t="shared" si="4"/>
        <v>31.8</v>
      </c>
      <c r="L17" t="str">
        <f t="shared" si="0"/>
        <v>janeiro</v>
      </c>
      <c r="M17" t="str">
        <f t="shared" si="3"/>
        <v>Consumido</v>
      </c>
      <c r="N17">
        <f t="shared" si="1"/>
        <v>5</v>
      </c>
      <c r="O17" s="3" t="str">
        <f t="shared" si="2"/>
        <v>Até 7 dias</v>
      </c>
    </row>
    <row r="18" spans="1:15" x14ac:dyDescent="0.3">
      <c r="A18">
        <v>17</v>
      </c>
      <c r="B18" s="1">
        <v>46053</v>
      </c>
      <c r="C18" t="s">
        <v>40</v>
      </c>
      <c r="D18" t="s">
        <v>23</v>
      </c>
      <c r="E18">
        <v>6</v>
      </c>
      <c r="F18" s="2">
        <v>1.5</v>
      </c>
      <c r="G18" t="s">
        <v>21</v>
      </c>
      <c r="H18" s="1">
        <v>46060</v>
      </c>
      <c r="I18" t="s">
        <v>14</v>
      </c>
      <c r="J18" t="s">
        <v>15</v>
      </c>
      <c r="K18" s="2">
        <f t="shared" si="4"/>
        <v>9</v>
      </c>
      <c r="L18" t="str">
        <f t="shared" si="0"/>
        <v>janeiro</v>
      </c>
      <c r="M18" t="str">
        <f t="shared" si="3"/>
        <v>Consumido</v>
      </c>
      <c r="N18">
        <f t="shared" si="1"/>
        <v>7</v>
      </c>
      <c r="O18" s="3" t="str">
        <f t="shared" si="2"/>
        <v>Até 7 dias</v>
      </c>
    </row>
    <row r="19" spans="1:15" x14ac:dyDescent="0.3">
      <c r="A19">
        <v>18</v>
      </c>
      <c r="B19" s="1">
        <v>46055</v>
      </c>
      <c r="C19" t="s">
        <v>11</v>
      </c>
      <c r="D19" t="s">
        <v>12</v>
      </c>
      <c r="E19">
        <v>3</v>
      </c>
      <c r="F19" s="2">
        <v>6.8</v>
      </c>
      <c r="G19" t="s">
        <v>27</v>
      </c>
      <c r="H19" s="1">
        <v>46236</v>
      </c>
      <c r="I19" t="s">
        <v>14</v>
      </c>
      <c r="J19" t="s">
        <v>15</v>
      </c>
      <c r="K19" s="2">
        <f t="shared" si="4"/>
        <v>20.399999999999999</v>
      </c>
      <c r="L19" t="str">
        <f t="shared" si="0"/>
        <v>fevereiro</v>
      </c>
      <c r="M19" t="str">
        <f t="shared" si="3"/>
        <v>Consumido</v>
      </c>
      <c r="N19">
        <f t="shared" si="1"/>
        <v>181</v>
      </c>
      <c r="O19" s="3" t="str">
        <f t="shared" si="2"/>
        <v>Mais de 30 dias</v>
      </c>
    </row>
    <row r="20" spans="1:15" x14ac:dyDescent="0.3">
      <c r="A20">
        <v>19</v>
      </c>
      <c r="B20" s="1">
        <v>46057</v>
      </c>
      <c r="C20" t="s">
        <v>16</v>
      </c>
      <c r="D20" t="s">
        <v>17</v>
      </c>
      <c r="E20">
        <v>4</v>
      </c>
      <c r="F20" s="2">
        <v>5.4</v>
      </c>
      <c r="G20" t="s">
        <v>13</v>
      </c>
      <c r="H20" s="1">
        <v>46067</v>
      </c>
      <c r="I20" t="s">
        <v>14</v>
      </c>
      <c r="J20" t="s">
        <v>15</v>
      </c>
      <c r="K20" s="2">
        <f t="shared" si="4"/>
        <v>21.6</v>
      </c>
      <c r="L20" t="str">
        <f t="shared" si="0"/>
        <v>fevereiro</v>
      </c>
      <c r="M20" t="str">
        <f t="shared" si="3"/>
        <v>Consumido</v>
      </c>
      <c r="N20">
        <f t="shared" si="1"/>
        <v>10</v>
      </c>
      <c r="O20" s="3" t="str">
        <f t="shared" si="2"/>
        <v>8 a 30 dias</v>
      </c>
    </row>
    <row r="21" spans="1:15" x14ac:dyDescent="0.3">
      <c r="A21">
        <v>20</v>
      </c>
      <c r="B21" s="1">
        <v>46059</v>
      </c>
      <c r="C21" t="s">
        <v>41</v>
      </c>
      <c r="D21" t="s">
        <v>31</v>
      </c>
      <c r="E21">
        <v>5</v>
      </c>
      <c r="F21" s="2">
        <v>2.9</v>
      </c>
      <c r="G21" t="s">
        <v>18</v>
      </c>
      <c r="H21" s="1">
        <v>46073</v>
      </c>
      <c r="I21" t="s">
        <v>14</v>
      </c>
      <c r="J21" t="s">
        <v>15</v>
      </c>
      <c r="K21" s="2">
        <f t="shared" si="4"/>
        <v>14.5</v>
      </c>
      <c r="L21" t="str">
        <f t="shared" si="0"/>
        <v>fevereiro</v>
      </c>
      <c r="M21" t="str">
        <f t="shared" si="3"/>
        <v>Consumido</v>
      </c>
      <c r="N21">
        <f t="shared" si="1"/>
        <v>14</v>
      </c>
      <c r="O21" s="3" t="str">
        <f t="shared" si="2"/>
        <v>8 a 30 dias</v>
      </c>
    </row>
    <row r="22" spans="1:15" x14ac:dyDescent="0.3">
      <c r="A22">
        <v>21</v>
      </c>
      <c r="B22" s="1">
        <v>46061</v>
      </c>
      <c r="C22" t="s">
        <v>42</v>
      </c>
      <c r="D22" t="s">
        <v>23</v>
      </c>
      <c r="E22">
        <v>2</v>
      </c>
      <c r="F22" s="2">
        <v>8.5</v>
      </c>
      <c r="G22" t="s">
        <v>21</v>
      </c>
      <c r="H22" s="1">
        <v>46066</v>
      </c>
      <c r="I22" t="s">
        <v>15</v>
      </c>
      <c r="J22" t="s">
        <v>14</v>
      </c>
      <c r="K22" s="2">
        <f t="shared" si="4"/>
        <v>17</v>
      </c>
      <c r="L22" t="str">
        <f t="shared" si="0"/>
        <v>fevereiro</v>
      </c>
      <c r="M22" t="str">
        <f t="shared" si="3"/>
        <v>Desperdiçado</v>
      </c>
      <c r="N22">
        <f t="shared" si="1"/>
        <v>5</v>
      </c>
      <c r="O22" s="3" t="str">
        <f t="shared" si="2"/>
        <v>Até 7 dias</v>
      </c>
    </row>
    <row r="23" spans="1:15" x14ac:dyDescent="0.3">
      <c r="A23">
        <v>22</v>
      </c>
      <c r="B23" s="1">
        <v>46063</v>
      </c>
      <c r="C23" t="s">
        <v>19</v>
      </c>
      <c r="D23" t="s">
        <v>20</v>
      </c>
      <c r="E23">
        <v>3</v>
      </c>
      <c r="F23" s="2">
        <v>16.5</v>
      </c>
      <c r="G23" t="s">
        <v>13</v>
      </c>
      <c r="H23" s="1">
        <v>46070</v>
      </c>
      <c r="I23" t="s">
        <v>14</v>
      </c>
      <c r="J23" t="s">
        <v>15</v>
      </c>
      <c r="K23" s="2">
        <f t="shared" ref="K23:K37" si="5">E23*F23</f>
        <v>49.5</v>
      </c>
      <c r="L23" t="str">
        <f t="shared" si="0"/>
        <v>fevereiro</v>
      </c>
      <c r="M23" t="str">
        <f t="shared" si="3"/>
        <v>Consumido</v>
      </c>
      <c r="N23">
        <f t="shared" si="1"/>
        <v>7</v>
      </c>
      <c r="O23" s="3" t="str">
        <f t="shared" si="2"/>
        <v>Até 7 dias</v>
      </c>
    </row>
    <row r="24" spans="1:15" x14ac:dyDescent="0.3">
      <c r="A24">
        <v>23</v>
      </c>
      <c r="B24" s="1">
        <v>46065</v>
      </c>
      <c r="C24" t="s">
        <v>11</v>
      </c>
      <c r="D24" t="s">
        <v>12</v>
      </c>
      <c r="E24">
        <v>2</v>
      </c>
      <c r="F24" s="2">
        <v>6.8</v>
      </c>
      <c r="G24" t="s">
        <v>18</v>
      </c>
      <c r="H24" s="1">
        <v>46246</v>
      </c>
      <c r="I24" t="s">
        <v>14</v>
      </c>
      <c r="J24" t="s">
        <v>15</v>
      </c>
      <c r="K24" s="2">
        <f t="shared" si="5"/>
        <v>13.6</v>
      </c>
      <c r="L24" t="str">
        <f t="shared" si="0"/>
        <v>fevereiro</v>
      </c>
      <c r="M24" t="str">
        <f t="shared" si="3"/>
        <v>Consumido</v>
      </c>
      <c r="N24">
        <f t="shared" si="1"/>
        <v>181</v>
      </c>
      <c r="O24" s="3" t="str">
        <f t="shared" si="2"/>
        <v>Mais de 30 dias</v>
      </c>
    </row>
    <row r="25" spans="1:15" x14ac:dyDescent="0.3">
      <c r="A25">
        <v>24</v>
      </c>
      <c r="B25" s="1">
        <v>46067</v>
      </c>
      <c r="C25" t="s">
        <v>30</v>
      </c>
      <c r="D25" t="s">
        <v>31</v>
      </c>
      <c r="E25">
        <v>3</v>
      </c>
      <c r="F25" s="2">
        <v>3.8</v>
      </c>
      <c r="G25" t="s">
        <v>21</v>
      </c>
      <c r="H25" s="1">
        <v>46073</v>
      </c>
      <c r="I25" t="s">
        <v>14</v>
      </c>
      <c r="J25" t="s">
        <v>15</v>
      </c>
      <c r="K25" s="2">
        <f t="shared" si="5"/>
        <v>11.399999999999999</v>
      </c>
      <c r="L25" t="str">
        <f t="shared" si="0"/>
        <v>fevereiro</v>
      </c>
      <c r="M25" t="str">
        <f t="shared" si="3"/>
        <v>Consumido</v>
      </c>
      <c r="N25">
        <f t="shared" si="1"/>
        <v>6</v>
      </c>
      <c r="O25" s="3" t="str">
        <f t="shared" si="2"/>
        <v>Até 7 dias</v>
      </c>
    </row>
    <row r="26" spans="1:15" x14ac:dyDescent="0.3">
      <c r="A26">
        <v>25</v>
      </c>
      <c r="B26" s="1">
        <v>46069</v>
      </c>
      <c r="C26" t="s">
        <v>16</v>
      </c>
      <c r="D26" t="s">
        <v>17</v>
      </c>
      <c r="E26">
        <v>2</v>
      </c>
      <c r="F26" s="2">
        <v>5.4</v>
      </c>
      <c r="G26" t="s">
        <v>27</v>
      </c>
      <c r="H26" s="1">
        <v>46078</v>
      </c>
      <c r="I26" t="s">
        <v>14</v>
      </c>
      <c r="J26" t="s">
        <v>15</v>
      </c>
      <c r="K26" s="2">
        <f t="shared" si="5"/>
        <v>10.8</v>
      </c>
      <c r="L26" t="str">
        <f t="shared" si="0"/>
        <v>fevereiro</v>
      </c>
      <c r="M26" t="str">
        <f t="shared" si="3"/>
        <v>Consumido</v>
      </c>
      <c r="N26">
        <f t="shared" si="1"/>
        <v>9</v>
      </c>
      <c r="O26" s="3" t="str">
        <f t="shared" si="2"/>
        <v>8 a 30 dias</v>
      </c>
    </row>
    <row r="27" spans="1:15" x14ac:dyDescent="0.3">
      <c r="A27">
        <v>26</v>
      </c>
      <c r="B27" s="1">
        <v>46071</v>
      </c>
      <c r="C27" t="s">
        <v>22</v>
      </c>
      <c r="D27" t="s">
        <v>23</v>
      </c>
      <c r="E27">
        <v>8</v>
      </c>
      <c r="F27" s="2">
        <v>1.3</v>
      </c>
      <c r="G27" t="s">
        <v>13</v>
      </c>
      <c r="H27" s="1">
        <v>46075</v>
      </c>
      <c r="I27" t="s">
        <v>14</v>
      </c>
      <c r="J27" t="s">
        <v>15</v>
      </c>
      <c r="K27" s="2">
        <f t="shared" si="5"/>
        <v>10.4</v>
      </c>
      <c r="L27" t="str">
        <f t="shared" si="0"/>
        <v>fevereiro</v>
      </c>
      <c r="M27" t="str">
        <f t="shared" si="3"/>
        <v>Consumido</v>
      </c>
      <c r="N27">
        <f t="shared" si="1"/>
        <v>4</v>
      </c>
      <c r="O27" s="3" t="str">
        <f t="shared" si="2"/>
        <v>Até 7 dias</v>
      </c>
    </row>
    <row r="28" spans="1:15" x14ac:dyDescent="0.3">
      <c r="A28">
        <v>27</v>
      </c>
      <c r="B28" s="1">
        <v>46073</v>
      </c>
      <c r="C28" t="s">
        <v>25</v>
      </c>
      <c r="D28" t="s">
        <v>26</v>
      </c>
      <c r="E28">
        <v>3</v>
      </c>
      <c r="F28" s="2">
        <v>8.9</v>
      </c>
      <c r="G28" t="s">
        <v>18</v>
      </c>
      <c r="H28" s="1">
        <v>46076</v>
      </c>
      <c r="I28" t="s">
        <v>14</v>
      </c>
      <c r="J28" t="s">
        <v>15</v>
      </c>
      <c r="K28" s="2">
        <f t="shared" si="5"/>
        <v>26.700000000000003</v>
      </c>
      <c r="L28" t="str">
        <f t="shared" si="0"/>
        <v>fevereiro</v>
      </c>
      <c r="M28" t="str">
        <f t="shared" si="3"/>
        <v>Consumido</v>
      </c>
      <c r="N28">
        <f t="shared" si="1"/>
        <v>3</v>
      </c>
      <c r="O28" s="3" t="str">
        <f t="shared" si="2"/>
        <v>Até 7 dias</v>
      </c>
    </row>
    <row r="29" spans="1:15" x14ac:dyDescent="0.3">
      <c r="A29">
        <v>28</v>
      </c>
      <c r="B29" s="1">
        <v>46075</v>
      </c>
      <c r="C29" t="s">
        <v>34</v>
      </c>
      <c r="D29" t="s">
        <v>20</v>
      </c>
      <c r="E29">
        <v>2</v>
      </c>
      <c r="F29" s="2">
        <v>34.9</v>
      </c>
      <c r="G29" t="s">
        <v>21</v>
      </c>
      <c r="H29" s="1">
        <v>46080</v>
      </c>
      <c r="I29" t="s">
        <v>14</v>
      </c>
      <c r="J29" t="s">
        <v>15</v>
      </c>
      <c r="K29" s="2">
        <f t="shared" si="5"/>
        <v>69.8</v>
      </c>
      <c r="L29" t="str">
        <f t="shared" si="0"/>
        <v>fevereiro</v>
      </c>
      <c r="M29" t="str">
        <f t="shared" si="3"/>
        <v>Consumido</v>
      </c>
      <c r="N29">
        <f t="shared" si="1"/>
        <v>5</v>
      </c>
      <c r="O29" s="3" t="str">
        <f t="shared" si="2"/>
        <v>Até 7 dias</v>
      </c>
    </row>
    <row r="30" spans="1:15" x14ac:dyDescent="0.3">
      <c r="A30">
        <v>29</v>
      </c>
      <c r="B30" s="1">
        <v>46077</v>
      </c>
      <c r="C30" t="s">
        <v>33</v>
      </c>
      <c r="D30" t="s">
        <v>17</v>
      </c>
      <c r="E30">
        <v>6</v>
      </c>
      <c r="F30" s="2">
        <v>3.7</v>
      </c>
      <c r="G30" t="s">
        <v>27</v>
      </c>
      <c r="H30" s="1">
        <v>46084</v>
      </c>
      <c r="I30" t="s">
        <v>14</v>
      </c>
      <c r="J30" t="s">
        <v>15</v>
      </c>
      <c r="K30" s="2">
        <f t="shared" si="5"/>
        <v>22.200000000000003</v>
      </c>
      <c r="L30" t="str">
        <f t="shared" si="0"/>
        <v>fevereiro</v>
      </c>
      <c r="M30" t="str">
        <f t="shared" si="3"/>
        <v>Consumido</v>
      </c>
      <c r="N30">
        <f t="shared" si="1"/>
        <v>7</v>
      </c>
      <c r="O30" s="3" t="str">
        <f t="shared" si="2"/>
        <v>Até 7 dias</v>
      </c>
    </row>
    <row r="31" spans="1:15" x14ac:dyDescent="0.3">
      <c r="A31">
        <v>30</v>
      </c>
      <c r="B31" s="1">
        <v>46079</v>
      </c>
      <c r="C31" t="s">
        <v>35</v>
      </c>
      <c r="D31" t="s">
        <v>31</v>
      </c>
      <c r="E31">
        <v>4</v>
      </c>
      <c r="F31" s="2">
        <v>2.7</v>
      </c>
      <c r="G31" t="s">
        <v>13</v>
      </c>
      <c r="H31" s="1">
        <v>46086</v>
      </c>
      <c r="I31" t="s">
        <v>14</v>
      </c>
      <c r="J31" t="s">
        <v>15</v>
      </c>
      <c r="K31" s="2">
        <f t="shared" si="5"/>
        <v>10.8</v>
      </c>
      <c r="L31" t="str">
        <f t="shared" si="0"/>
        <v>fevereiro</v>
      </c>
      <c r="M31" t="str">
        <f t="shared" si="3"/>
        <v>Consumido</v>
      </c>
      <c r="N31">
        <f t="shared" si="1"/>
        <v>7</v>
      </c>
      <c r="O31" s="3" t="str">
        <f t="shared" si="2"/>
        <v>Até 7 dias</v>
      </c>
    </row>
    <row r="32" spans="1:15" x14ac:dyDescent="0.3">
      <c r="A32">
        <v>31</v>
      </c>
      <c r="B32" s="1">
        <v>46081</v>
      </c>
      <c r="C32" t="s">
        <v>37</v>
      </c>
      <c r="D32" t="s">
        <v>38</v>
      </c>
      <c r="E32">
        <v>1</v>
      </c>
      <c r="F32" s="2">
        <v>17.5</v>
      </c>
      <c r="G32" t="s">
        <v>18</v>
      </c>
      <c r="H32" s="1">
        <v>46262</v>
      </c>
      <c r="I32" t="s">
        <v>14</v>
      </c>
      <c r="J32" t="s">
        <v>15</v>
      </c>
      <c r="K32" s="2">
        <f t="shared" si="5"/>
        <v>17.5</v>
      </c>
      <c r="L32" t="str">
        <f t="shared" si="0"/>
        <v>fevereiro</v>
      </c>
      <c r="M32" t="str">
        <f t="shared" si="3"/>
        <v>Consumido</v>
      </c>
      <c r="N32">
        <f t="shared" si="1"/>
        <v>181</v>
      </c>
      <c r="O32" s="3" t="str">
        <f t="shared" si="2"/>
        <v>Mais de 30 dias</v>
      </c>
    </row>
    <row r="33" spans="1:15" x14ac:dyDescent="0.3">
      <c r="A33">
        <v>32</v>
      </c>
      <c r="B33" s="1">
        <v>46083</v>
      </c>
      <c r="C33" t="s">
        <v>28</v>
      </c>
      <c r="D33" t="s">
        <v>12</v>
      </c>
      <c r="E33">
        <v>3</v>
      </c>
      <c r="F33" s="2">
        <v>7.2</v>
      </c>
      <c r="G33" t="s">
        <v>21</v>
      </c>
      <c r="H33" s="1">
        <v>46267</v>
      </c>
      <c r="I33" t="s">
        <v>14</v>
      </c>
      <c r="J33" t="s">
        <v>15</v>
      </c>
      <c r="K33" s="2">
        <f t="shared" si="5"/>
        <v>21.6</v>
      </c>
      <c r="L33" t="str">
        <f t="shared" si="0"/>
        <v>março</v>
      </c>
      <c r="M33" t="str">
        <f t="shared" si="3"/>
        <v>Consumido</v>
      </c>
      <c r="N33">
        <f t="shared" si="1"/>
        <v>184</v>
      </c>
      <c r="O33" s="3" t="str">
        <f t="shared" si="2"/>
        <v>Mais de 30 dias</v>
      </c>
    </row>
    <row r="34" spans="1:15" x14ac:dyDescent="0.3">
      <c r="A34">
        <v>33</v>
      </c>
      <c r="B34" s="1">
        <v>46085</v>
      </c>
      <c r="C34" t="s">
        <v>32</v>
      </c>
      <c r="D34" t="s">
        <v>23</v>
      </c>
      <c r="E34">
        <v>6</v>
      </c>
      <c r="F34" s="2">
        <v>1.9</v>
      </c>
      <c r="G34" t="s">
        <v>27</v>
      </c>
      <c r="H34" s="1">
        <v>46093</v>
      </c>
      <c r="I34" t="s">
        <v>14</v>
      </c>
      <c r="J34" t="s">
        <v>15</v>
      </c>
      <c r="K34" s="2">
        <f t="shared" si="5"/>
        <v>11.399999999999999</v>
      </c>
      <c r="L34" t="str">
        <f t="shared" ref="L34:L65" si="6">TEXT(B34,"mmmm")</f>
        <v>março</v>
      </c>
      <c r="M34" t="str">
        <f t="shared" ref="M34:M65" si="7">IF(J34="Sim","Desperdiçado","Consumido")</f>
        <v>Consumido</v>
      </c>
      <c r="N34">
        <f t="shared" ref="N34:N65" si="8">H34-B34</f>
        <v>8</v>
      </c>
      <c r="O34" s="3" t="str">
        <f t="shared" ref="O34:O65" si="9">IF(N34&lt;=7,"Até 7 dias",IF(N34&lt;=30,"8 a 30 dias","Mais de 30 dias"))</f>
        <v>8 a 30 dias</v>
      </c>
    </row>
    <row r="35" spans="1:15" x14ac:dyDescent="0.3">
      <c r="A35">
        <v>34</v>
      </c>
      <c r="B35" s="1">
        <v>46087</v>
      </c>
      <c r="C35" t="s">
        <v>43</v>
      </c>
      <c r="D35" t="s">
        <v>17</v>
      </c>
      <c r="E35">
        <v>1</v>
      </c>
      <c r="F35" s="2">
        <v>18.899999999999999</v>
      </c>
      <c r="G35" t="s">
        <v>13</v>
      </c>
      <c r="H35" s="1">
        <v>46101</v>
      </c>
      <c r="I35" t="s">
        <v>15</v>
      </c>
      <c r="J35" t="s">
        <v>14</v>
      </c>
      <c r="K35" s="2">
        <f t="shared" si="5"/>
        <v>18.899999999999999</v>
      </c>
      <c r="L35" t="str">
        <f t="shared" si="6"/>
        <v>março</v>
      </c>
      <c r="M35" t="str">
        <f t="shared" si="7"/>
        <v>Desperdiçado</v>
      </c>
      <c r="N35">
        <f t="shared" si="8"/>
        <v>14</v>
      </c>
      <c r="O35" s="3" t="str">
        <f t="shared" si="9"/>
        <v>8 a 30 dias</v>
      </c>
    </row>
    <row r="36" spans="1:15" x14ac:dyDescent="0.3">
      <c r="A36">
        <v>35</v>
      </c>
      <c r="B36" s="1">
        <v>46089</v>
      </c>
      <c r="C36" t="s">
        <v>41</v>
      </c>
      <c r="D36" t="s">
        <v>31</v>
      </c>
      <c r="E36">
        <v>5</v>
      </c>
      <c r="F36" s="2">
        <v>3.1</v>
      </c>
      <c r="G36" t="s">
        <v>18</v>
      </c>
      <c r="H36" s="1">
        <v>46096</v>
      </c>
      <c r="I36" t="s">
        <v>14</v>
      </c>
      <c r="J36" t="s">
        <v>15</v>
      </c>
      <c r="K36" s="2">
        <f t="shared" si="5"/>
        <v>15.5</v>
      </c>
      <c r="L36" t="str">
        <f t="shared" si="6"/>
        <v>março</v>
      </c>
      <c r="M36" t="str">
        <f t="shared" si="7"/>
        <v>Consumido</v>
      </c>
      <c r="N36">
        <f t="shared" si="8"/>
        <v>7</v>
      </c>
      <c r="O36" s="3" t="str">
        <f t="shared" si="9"/>
        <v>Até 7 dias</v>
      </c>
    </row>
    <row r="37" spans="1:15" x14ac:dyDescent="0.3">
      <c r="A37">
        <v>36</v>
      </c>
      <c r="B37" s="1">
        <v>46091</v>
      </c>
      <c r="C37" t="s">
        <v>44</v>
      </c>
      <c r="D37" t="s">
        <v>20</v>
      </c>
      <c r="E37">
        <v>2</v>
      </c>
      <c r="F37" s="2">
        <v>22.9</v>
      </c>
      <c r="G37" t="s">
        <v>21</v>
      </c>
      <c r="H37" s="1">
        <v>46095</v>
      </c>
      <c r="I37" t="s">
        <v>14</v>
      </c>
      <c r="J37" t="s">
        <v>15</v>
      </c>
      <c r="K37" s="2">
        <f t="shared" si="5"/>
        <v>45.8</v>
      </c>
      <c r="L37" t="str">
        <f t="shared" si="6"/>
        <v>março</v>
      </c>
      <c r="M37" t="str">
        <f t="shared" si="7"/>
        <v>Consumido</v>
      </c>
      <c r="N37">
        <f t="shared" si="8"/>
        <v>4</v>
      </c>
      <c r="O37" s="3" t="str">
        <f t="shared" si="9"/>
        <v>Até 7 dias</v>
      </c>
    </row>
    <row r="38" spans="1:15" x14ac:dyDescent="0.3">
      <c r="A38" s="3">
        <v>37</v>
      </c>
      <c r="B38" s="1">
        <v>46093</v>
      </c>
      <c r="C38" s="3" t="s">
        <v>40</v>
      </c>
      <c r="D38" s="2" t="s">
        <v>23</v>
      </c>
      <c r="E38" s="3">
        <v>5</v>
      </c>
      <c r="F38" s="2">
        <v>1.6</v>
      </c>
      <c r="G38" s="3" t="s">
        <v>27</v>
      </c>
      <c r="H38" s="1">
        <v>46099</v>
      </c>
      <c r="I38" s="3" t="s">
        <v>24</v>
      </c>
      <c r="J38" s="3" t="s">
        <v>15</v>
      </c>
      <c r="K38" s="2">
        <f>E38*F38</f>
        <v>8</v>
      </c>
      <c r="L38" t="str">
        <f t="shared" si="6"/>
        <v>março</v>
      </c>
      <c r="M38" t="str">
        <f t="shared" si="7"/>
        <v>Consumido</v>
      </c>
      <c r="N38">
        <f t="shared" si="8"/>
        <v>6</v>
      </c>
      <c r="O38" s="3" t="str">
        <f t="shared" si="9"/>
        <v>Até 7 dias</v>
      </c>
    </row>
    <row r="39" spans="1:15" x14ac:dyDescent="0.3">
      <c r="A39">
        <v>38</v>
      </c>
      <c r="B39" s="1">
        <v>46095</v>
      </c>
      <c r="C39" t="s">
        <v>29</v>
      </c>
      <c r="D39" t="s">
        <v>12</v>
      </c>
      <c r="E39">
        <v>3</v>
      </c>
      <c r="F39" s="2">
        <v>4.8</v>
      </c>
      <c r="G39" t="s">
        <v>13</v>
      </c>
      <c r="H39" s="1">
        <v>46279</v>
      </c>
      <c r="I39" t="s">
        <v>14</v>
      </c>
      <c r="J39" t="s">
        <v>15</v>
      </c>
      <c r="K39" s="2">
        <f t="shared" ref="K39:K52" si="10">E39*F39</f>
        <v>14.399999999999999</v>
      </c>
      <c r="L39" t="str">
        <f t="shared" si="6"/>
        <v>março</v>
      </c>
      <c r="M39" t="str">
        <f t="shared" si="7"/>
        <v>Consumido</v>
      </c>
      <c r="N39">
        <f t="shared" si="8"/>
        <v>184</v>
      </c>
      <c r="O39" s="3" t="str">
        <f t="shared" si="9"/>
        <v>Mais de 30 dias</v>
      </c>
    </row>
    <row r="40" spans="1:15" x14ac:dyDescent="0.3">
      <c r="A40">
        <v>39</v>
      </c>
      <c r="B40" s="1">
        <v>46097</v>
      </c>
      <c r="C40" t="s">
        <v>39</v>
      </c>
      <c r="D40" t="s">
        <v>31</v>
      </c>
      <c r="E40">
        <v>3</v>
      </c>
      <c r="F40" s="2">
        <v>3.4</v>
      </c>
      <c r="G40" t="s">
        <v>18</v>
      </c>
      <c r="H40" s="1">
        <v>46101</v>
      </c>
      <c r="I40" t="s">
        <v>14</v>
      </c>
      <c r="J40" t="s">
        <v>15</v>
      </c>
      <c r="K40" s="2">
        <f t="shared" si="10"/>
        <v>10.199999999999999</v>
      </c>
      <c r="L40" t="str">
        <f t="shared" si="6"/>
        <v>março</v>
      </c>
      <c r="M40" t="str">
        <f t="shared" si="7"/>
        <v>Consumido</v>
      </c>
      <c r="N40">
        <f t="shared" si="8"/>
        <v>4</v>
      </c>
      <c r="O40" s="3" t="str">
        <f t="shared" si="9"/>
        <v>Até 7 dias</v>
      </c>
    </row>
    <row r="41" spans="1:15" x14ac:dyDescent="0.3">
      <c r="A41">
        <v>40</v>
      </c>
      <c r="B41" s="1">
        <v>46099</v>
      </c>
      <c r="C41" t="s">
        <v>16</v>
      </c>
      <c r="D41" t="s">
        <v>17</v>
      </c>
      <c r="E41">
        <v>4</v>
      </c>
      <c r="F41" s="2">
        <v>5.6</v>
      </c>
      <c r="G41" t="s">
        <v>21</v>
      </c>
      <c r="H41" s="1">
        <v>46109</v>
      </c>
      <c r="I41" t="s">
        <v>14</v>
      </c>
      <c r="J41" t="s">
        <v>15</v>
      </c>
      <c r="K41" s="2">
        <f t="shared" si="10"/>
        <v>22.4</v>
      </c>
      <c r="L41" t="str">
        <f t="shared" si="6"/>
        <v>março</v>
      </c>
      <c r="M41" t="str">
        <f t="shared" si="7"/>
        <v>Consumido</v>
      </c>
      <c r="N41">
        <f t="shared" si="8"/>
        <v>10</v>
      </c>
      <c r="O41" s="3" t="str">
        <f t="shared" si="9"/>
        <v>8 a 30 dias</v>
      </c>
    </row>
    <row r="42" spans="1:15" x14ac:dyDescent="0.3">
      <c r="A42">
        <v>41</v>
      </c>
      <c r="B42" s="1">
        <v>46101</v>
      </c>
      <c r="C42" t="s">
        <v>19</v>
      </c>
      <c r="D42" t="s">
        <v>20</v>
      </c>
      <c r="E42">
        <v>2</v>
      </c>
      <c r="F42" s="2">
        <v>16.899999999999999</v>
      </c>
      <c r="G42" t="s">
        <v>27</v>
      </c>
      <c r="H42" s="1">
        <v>46106</v>
      </c>
      <c r="I42" t="s">
        <v>14</v>
      </c>
      <c r="J42" t="s">
        <v>15</v>
      </c>
      <c r="K42" s="2">
        <f t="shared" si="10"/>
        <v>33.799999999999997</v>
      </c>
      <c r="L42" t="str">
        <f t="shared" si="6"/>
        <v>março</v>
      </c>
      <c r="M42" t="str">
        <f t="shared" si="7"/>
        <v>Consumido</v>
      </c>
      <c r="N42">
        <f t="shared" si="8"/>
        <v>5</v>
      </c>
      <c r="O42" s="3" t="str">
        <f t="shared" si="9"/>
        <v>Até 7 dias</v>
      </c>
    </row>
    <row r="43" spans="1:15" x14ac:dyDescent="0.3">
      <c r="A43">
        <v>42</v>
      </c>
      <c r="B43" s="1">
        <v>46103</v>
      </c>
      <c r="C43" t="s">
        <v>42</v>
      </c>
      <c r="D43" t="s">
        <v>23</v>
      </c>
      <c r="E43">
        <v>3</v>
      </c>
      <c r="F43" s="2">
        <v>8.9</v>
      </c>
      <c r="G43" t="s">
        <v>13</v>
      </c>
      <c r="H43" s="1">
        <v>46108</v>
      </c>
      <c r="I43" t="s">
        <v>15</v>
      </c>
      <c r="J43" t="s">
        <v>14</v>
      </c>
      <c r="K43" s="2">
        <f t="shared" si="10"/>
        <v>26.700000000000003</v>
      </c>
      <c r="L43" t="str">
        <f t="shared" si="6"/>
        <v>março</v>
      </c>
      <c r="M43" t="str">
        <f t="shared" si="7"/>
        <v>Desperdiçado</v>
      </c>
      <c r="N43">
        <f t="shared" si="8"/>
        <v>5</v>
      </c>
      <c r="O43" s="3" t="str">
        <f t="shared" si="9"/>
        <v>Até 7 dias</v>
      </c>
    </row>
    <row r="44" spans="1:15" x14ac:dyDescent="0.3">
      <c r="A44">
        <v>43</v>
      </c>
      <c r="B44" s="1">
        <v>46105</v>
      </c>
      <c r="C44" t="s">
        <v>36</v>
      </c>
      <c r="D44" t="s">
        <v>17</v>
      </c>
      <c r="E44">
        <v>10</v>
      </c>
      <c r="F44" s="2">
        <v>0.95</v>
      </c>
      <c r="G44" t="s">
        <v>18</v>
      </c>
      <c r="H44" s="1">
        <v>46117</v>
      </c>
      <c r="I44" t="s">
        <v>14</v>
      </c>
      <c r="J44" t="s">
        <v>15</v>
      </c>
      <c r="K44" s="2">
        <f t="shared" si="10"/>
        <v>9.5</v>
      </c>
      <c r="L44" t="str">
        <f t="shared" si="6"/>
        <v>março</v>
      </c>
      <c r="M44" t="str">
        <f t="shared" si="7"/>
        <v>Consumido</v>
      </c>
      <c r="N44">
        <f t="shared" si="8"/>
        <v>12</v>
      </c>
      <c r="O44" s="3" t="str">
        <f t="shared" si="9"/>
        <v>8 a 30 dias</v>
      </c>
    </row>
    <row r="45" spans="1:15" x14ac:dyDescent="0.3">
      <c r="A45">
        <v>44</v>
      </c>
      <c r="B45" s="1">
        <v>46107</v>
      </c>
      <c r="C45" t="s">
        <v>25</v>
      </c>
      <c r="D45" t="s">
        <v>26</v>
      </c>
      <c r="E45">
        <v>2</v>
      </c>
      <c r="F45" s="2">
        <v>9.1999999999999993</v>
      </c>
      <c r="G45" t="s">
        <v>21</v>
      </c>
      <c r="H45" s="1">
        <v>46110</v>
      </c>
      <c r="I45" t="s">
        <v>14</v>
      </c>
      <c r="J45" t="s">
        <v>15</v>
      </c>
      <c r="K45" s="2">
        <f t="shared" si="10"/>
        <v>18.399999999999999</v>
      </c>
      <c r="L45" s="3" t="str">
        <f t="shared" si="6"/>
        <v>março</v>
      </c>
      <c r="M45" t="str">
        <f t="shared" si="7"/>
        <v>Consumido</v>
      </c>
      <c r="N45">
        <f t="shared" si="8"/>
        <v>3</v>
      </c>
      <c r="O45" s="3" t="str">
        <f t="shared" si="9"/>
        <v>Até 7 dias</v>
      </c>
    </row>
    <row r="46" spans="1:15" x14ac:dyDescent="0.3">
      <c r="A46">
        <v>45</v>
      </c>
      <c r="B46" s="1">
        <v>46109</v>
      </c>
      <c r="C46" t="s">
        <v>34</v>
      </c>
      <c r="D46" t="s">
        <v>20</v>
      </c>
      <c r="E46">
        <v>1</v>
      </c>
      <c r="F46" s="2">
        <v>35.9</v>
      </c>
      <c r="G46" t="s">
        <v>27</v>
      </c>
      <c r="H46" s="1">
        <v>46114</v>
      </c>
      <c r="I46" t="s">
        <v>14</v>
      </c>
      <c r="J46" t="s">
        <v>15</v>
      </c>
      <c r="K46" s="2">
        <f t="shared" si="10"/>
        <v>35.9</v>
      </c>
      <c r="L46" t="str">
        <f t="shared" si="6"/>
        <v>março</v>
      </c>
      <c r="M46" t="str">
        <f t="shared" si="7"/>
        <v>Consumido</v>
      </c>
      <c r="N46">
        <f t="shared" si="8"/>
        <v>5</v>
      </c>
      <c r="O46" s="3" t="str">
        <f t="shared" si="9"/>
        <v>Até 7 dias</v>
      </c>
    </row>
    <row r="47" spans="1:15" x14ac:dyDescent="0.3">
      <c r="A47">
        <v>46</v>
      </c>
      <c r="B47" s="1">
        <v>46111</v>
      </c>
      <c r="C47" t="s">
        <v>30</v>
      </c>
      <c r="D47" t="s">
        <v>31</v>
      </c>
      <c r="E47">
        <v>5</v>
      </c>
      <c r="F47" s="2">
        <v>3.6</v>
      </c>
      <c r="G47" t="s">
        <v>13</v>
      </c>
      <c r="H47" s="1">
        <v>46117</v>
      </c>
      <c r="I47" t="s">
        <v>14</v>
      </c>
      <c r="J47" t="s">
        <v>15</v>
      </c>
      <c r="K47" s="2">
        <f t="shared" si="10"/>
        <v>18</v>
      </c>
      <c r="L47" t="str">
        <f t="shared" si="6"/>
        <v>março</v>
      </c>
      <c r="M47" t="str">
        <f t="shared" si="7"/>
        <v>Consumido</v>
      </c>
      <c r="N47">
        <f t="shared" si="8"/>
        <v>6</v>
      </c>
      <c r="O47" s="3" t="str">
        <f t="shared" si="9"/>
        <v>Até 7 dias</v>
      </c>
    </row>
    <row r="48" spans="1:15" x14ac:dyDescent="0.3">
      <c r="A48">
        <v>47</v>
      </c>
      <c r="B48" s="1">
        <v>46113</v>
      </c>
      <c r="C48" t="s">
        <v>11</v>
      </c>
      <c r="D48" t="s">
        <v>12</v>
      </c>
      <c r="E48">
        <v>2</v>
      </c>
      <c r="F48" s="2">
        <v>7.1</v>
      </c>
      <c r="G48" t="s">
        <v>18</v>
      </c>
      <c r="H48" s="1">
        <v>46296</v>
      </c>
      <c r="I48" t="s">
        <v>14</v>
      </c>
      <c r="J48" t="s">
        <v>15</v>
      </c>
      <c r="K48" s="2">
        <f t="shared" si="10"/>
        <v>14.2</v>
      </c>
      <c r="L48" t="str">
        <f t="shared" si="6"/>
        <v>abril</v>
      </c>
      <c r="M48" t="str">
        <f t="shared" si="7"/>
        <v>Consumido</v>
      </c>
      <c r="N48">
        <f t="shared" si="8"/>
        <v>183</v>
      </c>
      <c r="O48" s="3" t="str">
        <f t="shared" si="9"/>
        <v>Mais de 30 dias</v>
      </c>
    </row>
    <row r="49" spans="1:15" x14ac:dyDescent="0.3">
      <c r="A49">
        <v>48</v>
      </c>
      <c r="B49" s="1">
        <v>46115</v>
      </c>
      <c r="C49" t="s">
        <v>22</v>
      </c>
      <c r="D49" t="s">
        <v>23</v>
      </c>
      <c r="E49">
        <v>7</v>
      </c>
      <c r="F49" s="2">
        <v>1.4</v>
      </c>
      <c r="G49" t="s">
        <v>21</v>
      </c>
      <c r="H49" s="1">
        <v>46120</v>
      </c>
      <c r="I49" t="s">
        <v>14</v>
      </c>
      <c r="J49" t="s">
        <v>15</v>
      </c>
      <c r="K49" s="2">
        <f t="shared" si="10"/>
        <v>9.7999999999999989</v>
      </c>
      <c r="L49" t="str">
        <f t="shared" si="6"/>
        <v>abril</v>
      </c>
      <c r="M49" t="str">
        <f t="shared" si="7"/>
        <v>Consumido</v>
      </c>
      <c r="N49">
        <f t="shared" si="8"/>
        <v>5</v>
      </c>
      <c r="O49" s="3" t="str">
        <f t="shared" si="9"/>
        <v>Até 7 dias</v>
      </c>
    </row>
    <row r="50" spans="1:15" x14ac:dyDescent="0.3">
      <c r="A50">
        <v>49</v>
      </c>
      <c r="B50" s="1">
        <v>46117</v>
      </c>
      <c r="C50" t="s">
        <v>33</v>
      </c>
      <c r="D50" t="s">
        <v>17</v>
      </c>
      <c r="E50">
        <v>5</v>
      </c>
      <c r="F50" s="2">
        <v>3.9</v>
      </c>
      <c r="G50" t="s">
        <v>27</v>
      </c>
      <c r="H50" s="1">
        <v>46124</v>
      </c>
      <c r="I50" t="s">
        <v>14</v>
      </c>
      <c r="J50" t="s">
        <v>15</v>
      </c>
      <c r="K50" s="2">
        <f t="shared" si="10"/>
        <v>19.5</v>
      </c>
      <c r="L50" t="str">
        <f t="shared" si="6"/>
        <v>abril</v>
      </c>
      <c r="M50" t="str">
        <f t="shared" si="7"/>
        <v>Consumido</v>
      </c>
      <c r="N50">
        <f t="shared" si="8"/>
        <v>7</v>
      </c>
      <c r="O50" s="3" t="str">
        <f t="shared" si="9"/>
        <v>Até 7 dias</v>
      </c>
    </row>
    <row r="51" spans="1:15" x14ac:dyDescent="0.3">
      <c r="A51">
        <v>50</v>
      </c>
      <c r="B51" s="1">
        <v>46119</v>
      </c>
      <c r="C51" t="s">
        <v>37</v>
      </c>
      <c r="D51" t="s">
        <v>38</v>
      </c>
      <c r="E51">
        <v>2</v>
      </c>
      <c r="F51" s="2">
        <v>18.2</v>
      </c>
      <c r="G51" t="s">
        <v>13</v>
      </c>
      <c r="H51" s="1">
        <v>46302</v>
      </c>
      <c r="I51" t="s">
        <v>14</v>
      </c>
      <c r="J51" t="s">
        <v>15</v>
      </c>
      <c r="K51" s="2">
        <f t="shared" si="10"/>
        <v>36.4</v>
      </c>
      <c r="L51" t="str">
        <f t="shared" si="6"/>
        <v>abril</v>
      </c>
      <c r="M51" t="str">
        <f t="shared" si="7"/>
        <v>Consumido</v>
      </c>
      <c r="N51">
        <f t="shared" si="8"/>
        <v>183</v>
      </c>
      <c r="O51" s="3" t="str">
        <f t="shared" si="9"/>
        <v>Mais de 30 dias</v>
      </c>
    </row>
    <row r="52" spans="1:15" x14ac:dyDescent="0.3">
      <c r="A52">
        <v>51</v>
      </c>
      <c r="B52" s="1">
        <v>46121</v>
      </c>
      <c r="C52" t="s">
        <v>35</v>
      </c>
      <c r="D52" t="s">
        <v>31</v>
      </c>
      <c r="E52">
        <v>4</v>
      </c>
      <c r="F52" s="2">
        <v>2.9</v>
      </c>
      <c r="G52" t="s">
        <v>18</v>
      </c>
      <c r="H52" s="1">
        <v>46130</v>
      </c>
      <c r="I52" t="s">
        <v>14</v>
      </c>
      <c r="J52" t="s">
        <v>15</v>
      </c>
      <c r="K52" s="2">
        <f t="shared" si="10"/>
        <v>11.6</v>
      </c>
      <c r="L52" t="str">
        <f t="shared" si="6"/>
        <v>abril</v>
      </c>
      <c r="M52" t="str">
        <f t="shared" si="7"/>
        <v>Consumido</v>
      </c>
      <c r="N52">
        <f t="shared" si="8"/>
        <v>9</v>
      </c>
      <c r="O52" s="3" t="str">
        <f t="shared" si="9"/>
        <v>8 a 30 dias</v>
      </c>
    </row>
    <row r="53" spans="1:15" x14ac:dyDescent="0.3">
      <c r="A53">
        <v>52</v>
      </c>
      <c r="B53" s="1">
        <v>46123</v>
      </c>
      <c r="C53" t="s">
        <v>19</v>
      </c>
      <c r="D53" t="s">
        <v>20</v>
      </c>
      <c r="E53">
        <v>2</v>
      </c>
      <c r="F53" s="2">
        <v>17.2</v>
      </c>
      <c r="G53" t="s">
        <v>21</v>
      </c>
      <c r="H53" s="1">
        <v>46130</v>
      </c>
      <c r="I53" t="s">
        <v>14</v>
      </c>
      <c r="J53" t="s">
        <v>15</v>
      </c>
      <c r="K53" s="2">
        <f t="shared" ref="K53:K67" si="11">E53*F53</f>
        <v>34.4</v>
      </c>
      <c r="L53" t="str">
        <f t="shared" si="6"/>
        <v>abril</v>
      </c>
      <c r="M53" t="str">
        <f t="shared" si="7"/>
        <v>Consumido</v>
      </c>
      <c r="N53">
        <f t="shared" si="8"/>
        <v>7</v>
      </c>
      <c r="O53" s="3" t="str">
        <f t="shared" si="9"/>
        <v>Até 7 dias</v>
      </c>
    </row>
    <row r="54" spans="1:15" x14ac:dyDescent="0.3">
      <c r="A54">
        <v>53</v>
      </c>
      <c r="B54" s="1">
        <v>46125</v>
      </c>
      <c r="C54" t="s">
        <v>28</v>
      </c>
      <c r="D54" t="s">
        <v>12</v>
      </c>
      <c r="E54">
        <v>2</v>
      </c>
      <c r="F54" s="2">
        <v>7.4</v>
      </c>
      <c r="G54" t="s">
        <v>27</v>
      </c>
      <c r="H54" s="1">
        <v>46308</v>
      </c>
      <c r="I54" t="s">
        <v>14</v>
      </c>
      <c r="J54" t="s">
        <v>15</v>
      </c>
      <c r="K54" s="2">
        <f t="shared" si="11"/>
        <v>14.8</v>
      </c>
      <c r="L54" t="str">
        <f t="shared" si="6"/>
        <v>abril</v>
      </c>
      <c r="M54" t="str">
        <f t="shared" si="7"/>
        <v>Consumido</v>
      </c>
      <c r="N54">
        <f t="shared" si="8"/>
        <v>183</v>
      </c>
      <c r="O54" s="3" t="str">
        <f t="shared" si="9"/>
        <v>Mais de 30 dias</v>
      </c>
    </row>
    <row r="55" spans="1:15" x14ac:dyDescent="0.3">
      <c r="A55">
        <v>54</v>
      </c>
      <c r="B55" s="1">
        <v>46127</v>
      </c>
      <c r="C55" t="s">
        <v>22</v>
      </c>
      <c r="D55" t="s">
        <v>23</v>
      </c>
      <c r="E55">
        <v>6</v>
      </c>
      <c r="F55" s="2">
        <v>1.35</v>
      </c>
      <c r="G55" t="s">
        <v>13</v>
      </c>
      <c r="H55" s="1">
        <v>46132</v>
      </c>
      <c r="I55" t="s">
        <v>14</v>
      </c>
      <c r="J55" t="s">
        <v>15</v>
      </c>
      <c r="K55" s="2">
        <f t="shared" si="11"/>
        <v>8.1000000000000014</v>
      </c>
      <c r="L55" t="str">
        <f t="shared" si="6"/>
        <v>abril</v>
      </c>
      <c r="M55" t="str">
        <f t="shared" si="7"/>
        <v>Consumido</v>
      </c>
      <c r="N55">
        <f t="shared" si="8"/>
        <v>5</v>
      </c>
      <c r="O55" s="3" t="str">
        <f t="shared" si="9"/>
        <v>Até 7 dias</v>
      </c>
    </row>
    <row r="56" spans="1:15" x14ac:dyDescent="0.3">
      <c r="A56">
        <v>55</v>
      </c>
      <c r="B56" s="1">
        <v>46129</v>
      </c>
      <c r="C56" t="s">
        <v>30</v>
      </c>
      <c r="D56" t="s">
        <v>31</v>
      </c>
      <c r="E56">
        <v>4</v>
      </c>
      <c r="F56" s="2">
        <v>3.7</v>
      </c>
      <c r="G56" t="s">
        <v>18</v>
      </c>
      <c r="H56" s="1">
        <v>46135</v>
      </c>
      <c r="I56" t="s">
        <v>14</v>
      </c>
      <c r="J56" t="s">
        <v>15</v>
      </c>
      <c r="K56" s="2">
        <f t="shared" si="11"/>
        <v>14.8</v>
      </c>
      <c r="L56" t="str">
        <f t="shared" si="6"/>
        <v>abril</v>
      </c>
      <c r="M56" t="str">
        <f t="shared" si="7"/>
        <v>Consumido</v>
      </c>
      <c r="N56">
        <f t="shared" si="8"/>
        <v>6</v>
      </c>
      <c r="O56" s="3" t="str">
        <f t="shared" si="9"/>
        <v>Até 7 dias</v>
      </c>
    </row>
    <row r="57" spans="1:15" x14ac:dyDescent="0.3">
      <c r="A57">
        <v>56</v>
      </c>
      <c r="B57" s="1">
        <v>46131</v>
      </c>
      <c r="C57" t="s">
        <v>16</v>
      </c>
      <c r="D57" t="s">
        <v>17</v>
      </c>
      <c r="E57">
        <v>3</v>
      </c>
      <c r="F57" s="2">
        <v>5.5</v>
      </c>
      <c r="G57" t="s">
        <v>21</v>
      </c>
      <c r="H57" s="1">
        <v>46141</v>
      </c>
      <c r="I57" t="s">
        <v>14</v>
      </c>
      <c r="J57" t="s">
        <v>15</v>
      </c>
      <c r="K57" s="2">
        <f t="shared" si="11"/>
        <v>16.5</v>
      </c>
      <c r="L57" t="str">
        <f t="shared" si="6"/>
        <v>abril</v>
      </c>
      <c r="M57" t="str">
        <f t="shared" si="7"/>
        <v>Consumido</v>
      </c>
      <c r="N57">
        <f t="shared" si="8"/>
        <v>10</v>
      </c>
      <c r="O57" s="3" t="str">
        <f t="shared" si="9"/>
        <v>8 a 30 dias</v>
      </c>
    </row>
    <row r="58" spans="1:15" x14ac:dyDescent="0.3">
      <c r="A58">
        <v>57</v>
      </c>
      <c r="B58" s="1">
        <v>46133</v>
      </c>
      <c r="C58" t="s">
        <v>25</v>
      </c>
      <c r="D58" t="s">
        <v>26</v>
      </c>
      <c r="E58">
        <v>2</v>
      </c>
      <c r="F58" s="2">
        <v>9</v>
      </c>
      <c r="G58" t="s">
        <v>27</v>
      </c>
      <c r="H58" s="1">
        <v>46136</v>
      </c>
      <c r="I58" t="s">
        <v>14</v>
      </c>
      <c r="J58" t="s">
        <v>15</v>
      </c>
      <c r="K58" s="2">
        <f t="shared" si="11"/>
        <v>18</v>
      </c>
      <c r="L58" t="str">
        <f t="shared" si="6"/>
        <v>abril</v>
      </c>
      <c r="M58" t="str">
        <f t="shared" si="7"/>
        <v>Consumido</v>
      </c>
      <c r="N58">
        <f t="shared" si="8"/>
        <v>3</v>
      </c>
      <c r="O58" s="3" t="str">
        <f t="shared" si="9"/>
        <v>Até 7 dias</v>
      </c>
    </row>
    <row r="59" spans="1:15" x14ac:dyDescent="0.3">
      <c r="A59">
        <v>58</v>
      </c>
      <c r="B59" s="1">
        <v>46135</v>
      </c>
      <c r="C59" t="s">
        <v>34</v>
      </c>
      <c r="D59" t="s">
        <v>20</v>
      </c>
      <c r="E59">
        <v>1</v>
      </c>
      <c r="F59" s="2">
        <v>36.5</v>
      </c>
      <c r="G59" t="s">
        <v>13</v>
      </c>
      <c r="H59" s="1">
        <v>46140</v>
      </c>
      <c r="I59" t="s">
        <v>14</v>
      </c>
      <c r="J59" t="s">
        <v>15</v>
      </c>
      <c r="K59" s="2">
        <f t="shared" si="11"/>
        <v>36.5</v>
      </c>
      <c r="L59" t="str">
        <f t="shared" si="6"/>
        <v>abril</v>
      </c>
      <c r="M59" t="str">
        <f t="shared" si="7"/>
        <v>Consumido</v>
      </c>
      <c r="N59">
        <f t="shared" si="8"/>
        <v>5</v>
      </c>
      <c r="O59" s="3" t="str">
        <f t="shared" si="9"/>
        <v>Até 7 dias</v>
      </c>
    </row>
    <row r="60" spans="1:15" x14ac:dyDescent="0.3">
      <c r="A60">
        <v>59</v>
      </c>
      <c r="B60" s="1">
        <v>46137</v>
      </c>
      <c r="C60" t="s">
        <v>32</v>
      </c>
      <c r="D60" t="s">
        <v>23</v>
      </c>
      <c r="E60">
        <v>5</v>
      </c>
      <c r="F60" s="2">
        <v>2</v>
      </c>
      <c r="G60" t="s">
        <v>18</v>
      </c>
      <c r="H60" s="1">
        <v>46144</v>
      </c>
      <c r="I60" t="s">
        <v>15</v>
      </c>
      <c r="J60" t="s">
        <v>14</v>
      </c>
      <c r="K60" s="2">
        <f t="shared" si="11"/>
        <v>10</v>
      </c>
      <c r="L60" t="str">
        <f t="shared" si="6"/>
        <v>abril</v>
      </c>
      <c r="M60" t="str">
        <f t="shared" si="7"/>
        <v>Desperdiçado</v>
      </c>
      <c r="N60">
        <f t="shared" si="8"/>
        <v>7</v>
      </c>
      <c r="O60" s="3" t="str">
        <f t="shared" si="9"/>
        <v>Até 7 dias</v>
      </c>
    </row>
    <row r="61" spans="1:15" x14ac:dyDescent="0.3">
      <c r="A61">
        <v>60</v>
      </c>
      <c r="B61" s="1">
        <v>46139</v>
      </c>
      <c r="C61" t="s">
        <v>33</v>
      </c>
      <c r="D61" t="s">
        <v>17</v>
      </c>
      <c r="E61">
        <v>4</v>
      </c>
      <c r="F61" s="2">
        <v>4.0999999999999996</v>
      </c>
      <c r="G61" t="s">
        <v>21</v>
      </c>
      <c r="H61" s="1">
        <v>46146</v>
      </c>
      <c r="I61" t="s">
        <v>14</v>
      </c>
      <c r="J61" t="s">
        <v>15</v>
      </c>
      <c r="K61" s="2">
        <f t="shared" si="11"/>
        <v>16.399999999999999</v>
      </c>
      <c r="L61" t="str">
        <f t="shared" si="6"/>
        <v>abril</v>
      </c>
      <c r="M61" t="str">
        <f t="shared" si="7"/>
        <v>Consumido</v>
      </c>
      <c r="N61">
        <f t="shared" si="8"/>
        <v>7</v>
      </c>
      <c r="O61" s="3" t="str">
        <f t="shared" si="9"/>
        <v>Até 7 dias</v>
      </c>
    </row>
    <row r="62" spans="1:15" x14ac:dyDescent="0.3">
      <c r="A62">
        <v>61</v>
      </c>
      <c r="B62" s="1">
        <v>46141</v>
      </c>
      <c r="C62" t="s">
        <v>41</v>
      </c>
      <c r="D62" t="s">
        <v>31</v>
      </c>
      <c r="E62">
        <v>6</v>
      </c>
      <c r="F62" s="2">
        <v>3</v>
      </c>
      <c r="G62" t="s">
        <v>27</v>
      </c>
      <c r="H62" s="1">
        <v>46148</v>
      </c>
      <c r="I62" t="s">
        <v>14</v>
      </c>
      <c r="J62" t="s">
        <v>15</v>
      </c>
      <c r="K62" s="2">
        <f t="shared" si="11"/>
        <v>18</v>
      </c>
      <c r="L62" t="str">
        <f t="shared" si="6"/>
        <v>abril</v>
      </c>
      <c r="M62" t="str">
        <f t="shared" si="7"/>
        <v>Consumido</v>
      </c>
      <c r="N62">
        <f t="shared" si="8"/>
        <v>7</v>
      </c>
      <c r="O62" s="3" t="str">
        <f t="shared" si="9"/>
        <v>Até 7 dias</v>
      </c>
    </row>
    <row r="63" spans="1:15" x14ac:dyDescent="0.3">
      <c r="A63">
        <v>62</v>
      </c>
      <c r="B63" s="1">
        <v>46143</v>
      </c>
      <c r="C63" t="s">
        <v>11</v>
      </c>
      <c r="D63" t="s">
        <v>12</v>
      </c>
      <c r="E63">
        <v>3</v>
      </c>
      <c r="F63" s="2">
        <v>7.2</v>
      </c>
      <c r="G63" t="s">
        <v>13</v>
      </c>
      <c r="H63" s="1">
        <v>46327</v>
      </c>
      <c r="I63" t="s">
        <v>14</v>
      </c>
      <c r="J63" t="s">
        <v>15</v>
      </c>
      <c r="K63" s="2">
        <f t="shared" si="11"/>
        <v>21.6</v>
      </c>
      <c r="L63" t="str">
        <f t="shared" si="6"/>
        <v>maio</v>
      </c>
      <c r="M63" t="str">
        <f t="shared" si="7"/>
        <v>Consumido</v>
      </c>
      <c r="N63">
        <f t="shared" si="8"/>
        <v>184</v>
      </c>
      <c r="O63" s="3" t="str">
        <f t="shared" si="9"/>
        <v>Mais de 30 dias</v>
      </c>
    </row>
    <row r="64" spans="1:15" x14ac:dyDescent="0.3">
      <c r="A64">
        <v>63</v>
      </c>
      <c r="B64" s="1">
        <v>46145</v>
      </c>
      <c r="C64" t="s">
        <v>37</v>
      </c>
      <c r="D64" t="s">
        <v>38</v>
      </c>
      <c r="E64">
        <v>2</v>
      </c>
      <c r="F64" s="2">
        <v>18.5</v>
      </c>
      <c r="G64" t="s">
        <v>18</v>
      </c>
      <c r="H64" s="1">
        <v>46329</v>
      </c>
      <c r="I64" t="s">
        <v>14</v>
      </c>
      <c r="J64" t="s">
        <v>15</v>
      </c>
      <c r="K64" s="2">
        <f t="shared" si="11"/>
        <v>37</v>
      </c>
      <c r="L64" t="str">
        <f t="shared" si="6"/>
        <v>maio</v>
      </c>
      <c r="M64" t="str">
        <f t="shared" si="7"/>
        <v>Consumido</v>
      </c>
      <c r="N64">
        <f t="shared" si="8"/>
        <v>184</v>
      </c>
      <c r="O64" s="3" t="str">
        <f t="shared" si="9"/>
        <v>Mais de 30 dias</v>
      </c>
    </row>
    <row r="65" spans="1:15" x14ac:dyDescent="0.3">
      <c r="A65">
        <v>64</v>
      </c>
      <c r="B65" s="1">
        <v>46147</v>
      </c>
      <c r="C65" t="s">
        <v>42</v>
      </c>
      <c r="D65" t="s">
        <v>23</v>
      </c>
      <c r="E65">
        <v>2</v>
      </c>
      <c r="F65" s="2">
        <v>9.1999999999999993</v>
      </c>
      <c r="G65" t="s">
        <v>21</v>
      </c>
      <c r="H65" s="1">
        <v>46151</v>
      </c>
      <c r="I65" t="s">
        <v>15</v>
      </c>
      <c r="J65" t="s">
        <v>14</v>
      </c>
      <c r="K65" s="2">
        <f t="shared" si="11"/>
        <v>18.399999999999999</v>
      </c>
      <c r="L65" t="str">
        <f t="shared" si="6"/>
        <v>maio</v>
      </c>
      <c r="M65" t="str">
        <f t="shared" si="7"/>
        <v>Desperdiçado</v>
      </c>
      <c r="N65">
        <f t="shared" si="8"/>
        <v>4</v>
      </c>
      <c r="O65" s="3" t="str">
        <f t="shared" si="9"/>
        <v>Até 7 dias</v>
      </c>
    </row>
    <row r="66" spans="1:15" x14ac:dyDescent="0.3">
      <c r="A66">
        <v>65</v>
      </c>
      <c r="B66" s="1">
        <v>46149</v>
      </c>
      <c r="C66" t="s">
        <v>35</v>
      </c>
      <c r="D66" t="s">
        <v>31</v>
      </c>
      <c r="E66">
        <v>3</v>
      </c>
      <c r="F66" s="2">
        <v>3.1</v>
      </c>
      <c r="G66" t="s">
        <v>27</v>
      </c>
      <c r="H66" s="1">
        <v>46157</v>
      </c>
      <c r="I66" t="s">
        <v>14</v>
      </c>
      <c r="J66" t="s">
        <v>15</v>
      </c>
      <c r="K66" s="2">
        <f t="shared" si="11"/>
        <v>9.3000000000000007</v>
      </c>
      <c r="L66" t="str">
        <f t="shared" ref="L66:L101" si="12">TEXT(B66,"mmmm")</f>
        <v>maio</v>
      </c>
      <c r="M66" t="str">
        <f t="shared" ref="M66:M101" si="13">IF(J66="Sim","Desperdiçado","Consumido")</f>
        <v>Consumido</v>
      </c>
      <c r="N66">
        <f t="shared" ref="N66:N101" si="14">H66-B66</f>
        <v>8</v>
      </c>
      <c r="O66" s="3" t="str">
        <f t="shared" ref="O66:O97" si="15">IF(N66&lt;=7,"Até 7 dias",IF(N66&lt;=30,"8 a 30 dias","Mais de 30 dias"))</f>
        <v>8 a 30 dias</v>
      </c>
    </row>
    <row r="67" spans="1:15" x14ac:dyDescent="0.3">
      <c r="A67">
        <v>66</v>
      </c>
      <c r="B67" s="1">
        <v>46151</v>
      </c>
      <c r="C67" t="s">
        <v>43</v>
      </c>
      <c r="D67" t="s">
        <v>17</v>
      </c>
      <c r="E67">
        <v>2</v>
      </c>
      <c r="F67" s="2">
        <v>19.5</v>
      </c>
      <c r="G67" t="s">
        <v>13</v>
      </c>
      <c r="H67" s="1">
        <v>46162</v>
      </c>
      <c r="I67" t="s">
        <v>14</v>
      </c>
      <c r="J67" t="s">
        <v>15</v>
      </c>
      <c r="K67" s="2">
        <f t="shared" si="11"/>
        <v>39</v>
      </c>
      <c r="L67" t="str">
        <f t="shared" si="12"/>
        <v>maio</v>
      </c>
      <c r="M67" t="str">
        <f t="shared" si="13"/>
        <v>Consumido</v>
      </c>
      <c r="N67">
        <f t="shared" si="14"/>
        <v>11</v>
      </c>
      <c r="O67" s="3" t="str">
        <f t="shared" si="15"/>
        <v>8 a 30 dias</v>
      </c>
    </row>
    <row r="68" spans="1:15" x14ac:dyDescent="0.3">
      <c r="A68">
        <v>67</v>
      </c>
      <c r="B68" s="1">
        <v>46153</v>
      </c>
      <c r="C68" t="s">
        <v>19</v>
      </c>
      <c r="D68" t="s">
        <v>20</v>
      </c>
      <c r="E68">
        <v>2</v>
      </c>
      <c r="F68" s="2">
        <v>17.5</v>
      </c>
      <c r="G68" t="s">
        <v>18</v>
      </c>
      <c r="H68" s="1">
        <v>46160</v>
      </c>
      <c r="I68" t="s">
        <v>14</v>
      </c>
      <c r="J68" t="s">
        <v>15</v>
      </c>
      <c r="K68" s="2">
        <f t="shared" ref="K68:K82" si="16">E68*F68</f>
        <v>35</v>
      </c>
      <c r="L68" t="str">
        <f t="shared" si="12"/>
        <v>maio</v>
      </c>
      <c r="M68" t="str">
        <f t="shared" si="13"/>
        <v>Consumido</v>
      </c>
      <c r="N68">
        <f t="shared" si="14"/>
        <v>7</v>
      </c>
      <c r="O68" s="3" t="str">
        <f t="shared" si="15"/>
        <v>Até 7 dias</v>
      </c>
    </row>
    <row r="69" spans="1:15" x14ac:dyDescent="0.3">
      <c r="A69">
        <v>68</v>
      </c>
      <c r="B69" s="1">
        <v>46155</v>
      </c>
      <c r="C69" t="s">
        <v>11</v>
      </c>
      <c r="D69" t="s">
        <v>12</v>
      </c>
      <c r="E69">
        <v>2</v>
      </c>
      <c r="F69" s="2">
        <v>7.3</v>
      </c>
      <c r="G69" t="s">
        <v>21</v>
      </c>
      <c r="H69" s="1">
        <v>46339</v>
      </c>
      <c r="I69" t="s">
        <v>14</v>
      </c>
      <c r="J69" t="s">
        <v>15</v>
      </c>
      <c r="K69" s="2">
        <f t="shared" si="16"/>
        <v>14.6</v>
      </c>
      <c r="L69" t="str">
        <f t="shared" si="12"/>
        <v>maio</v>
      </c>
      <c r="M69" t="str">
        <f t="shared" si="13"/>
        <v>Consumido</v>
      </c>
      <c r="N69">
        <f t="shared" si="14"/>
        <v>184</v>
      </c>
      <c r="O69" s="3" t="str">
        <f t="shared" si="15"/>
        <v>Mais de 30 dias</v>
      </c>
    </row>
    <row r="70" spans="1:15" x14ac:dyDescent="0.3">
      <c r="A70">
        <v>69</v>
      </c>
      <c r="B70" s="1">
        <v>46157</v>
      </c>
      <c r="C70" t="s">
        <v>39</v>
      </c>
      <c r="D70" t="s">
        <v>31</v>
      </c>
      <c r="E70">
        <v>2</v>
      </c>
      <c r="F70" s="2">
        <v>3.5</v>
      </c>
      <c r="G70" t="s">
        <v>27</v>
      </c>
      <c r="H70" s="1">
        <v>46161</v>
      </c>
      <c r="I70" t="s">
        <v>15</v>
      </c>
      <c r="J70" t="s">
        <v>14</v>
      </c>
      <c r="K70" s="2">
        <f t="shared" si="16"/>
        <v>7</v>
      </c>
      <c r="L70" t="str">
        <f t="shared" si="12"/>
        <v>maio</v>
      </c>
      <c r="M70" t="str">
        <f t="shared" si="13"/>
        <v>Desperdiçado</v>
      </c>
      <c r="N70">
        <f t="shared" si="14"/>
        <v>4</v>
      </c>
      <c r="O70" s="3" t="str">
        <f t="shared" si="15"/>
        <v>Até 7 dias</v>
      </c>
    </row>
    <row r="71" spans="1:15" x14ac:dyDescent="0.3">
      <c r="A71">
        <v>70</v>
      </c>
      <c r="B71" s="1">
        <v>46159</v>
      </c>
      <c r="C71" t="s">
        <v>16</v>
      </c>
      <c r="D71" t="s">
        <v>17</v>
      </c>
      <c r="E71">
        <v>4</v>
      </c>
      <c r="F71" s="2">
        <v>5.6</v>
      </c>
      <c r="G71" t="s">
        <v>13</v>
      </c>
      <c r="H71" s="1">
        <v>46169</v>
      </c>
      <c r="I71" t="s">
        <v>14</v>
      </c>
      <c r="J71" t="s">
        <v>15</v>
      </c>
      <c r="K71" s="2">
        <f t="shared" si="16"/>
        <v>22.4</v>
      </c>
      <c r="L71" t="str">
        <f t="shared" si="12"/>
        <v>maio</v>
      </c>
      <c r="M71" t="str">
        <f t="shared" si="13"/>
        <v>Consumido</v>
      </c>
      <c r="N71">
        <f t="shared" si="14"/>
        <v>10</v>
      </c>
      <c r="O71" s="3" t="str">
        <f t="shared" si="15"/>
        <v>8 a 30 dias</v>
      </c>
    </row>
    <row r="72" spans="1:15" x14ac:dyDescent="0.3">
      <c r="A72">
        <v>71</v>
      </c>
      <c r="B72" s="1">
        <v>46161</v>
      </c>
      <c r="C72" t="s">
        <v>22</v>
      </c>
      <c r="D72" t="s">
        <v>23</v>
      </c>
      <c r="E72">
        <v>8</v>
      </c>
      <c r="F72" s="2">
        <v>1.4</v>
      </c>
      <c r="G72" t="s">
        <v>18</v>
      </c>
      <c r="H72" s="1">
        <v>46166</v>
      </c>
      <c r="I72" t="s">
        <v>14</v>
      </c>
      <c r="J72" t="s">
        <v>15</v>
      </c>
      <c r="K72" s="2">
        <f t="shared" si="16"/>
        <v>11.2</v>
      </c>
      <c r="L72" t="str">
        <f t="shared" si="12"/>
        <v>maio</v>
      </c>
      <c r="M72" t="str">
        <f t="shared" si="13"/>
        <v>Consumido</v>
      </c>
      <c r="N72">
        <f t="shared" si="14"/>
        <v>5</v>
      </c>
      <c r="O72" s="3" t="str">
        <f t="shared" si="15"/>
        <v>Até 7 dias</v>
      </c>
    </row>
    <row r="73" spans="1:15" x14ac:dyDescent="0.3">
      <c r="A73">
        <v>72</v>
      </c>
      <c r="B73" s="1">
        <v>46163</v>
      </c>
      <c r="C73" t="s">
        <v>25</v>
      </c>
      <c r="D73" t="s">
        <v>26</v>
      </c>
      <c r="E73">
        <v>3</v>
      </c>
      <c r="F73" s="2">
        <v>9.1999999999999993</v>
      </c>
      <c r="G73" t="s">
        <v>21</v>
      </c>
      <c r="H73" s="1">
        <v>46166</v>
      </c>
      <c r="I73" t="s">
        <v>14</v>
      </c>
      <c r="J73" t="s">
        <v>15</v>
      </c>
      <c r="K73" s="2">
        <f t="shared" si="16"/>
        <v>27.599999999999998</v>
      </c>
      <c r="L73" t="str">
        <f t="shared" si="12"/>
        <v>maio</v>
      </c>
      <c r="M73" t="str">
        <f t="shared" si="13"/>
        <v>Consumido</v>
      </c>
      <c r="N73">
        <f t="shared" si="14"/>
        <v>3</v>
      </c>
      <c r="O73" s="3" t="str">
        <f t="shared" si="15"/>
        <v>Até 7 dias</v>
      </c>
    </row>
    <row r="74" spans="1:15" x14ac:dyDescent="0.3">
      <c r="A74">
        <v>73</v>
      </c>
      <c r="B74" s="1">
        <v>46165</v>
      </c>
      <c r="C74" t="s">
        <v>34</v>
      </c>
      <c r="D74" t="s">
        <v>20</v>
      </c>
      <c r="E74">
        <v>2</v>
      </c>
      <c r="F74" s="2">
        <v>37.9</v>
      </c>
      <c r="G74" t="s">
        <v>27</v>
      </c>
      <c r="H74" s="1">
        <v>46170</v>
      </c>
      <c r="I74" t="s">
        <v>14</v>
      </c>
      <c r="J74" t="s">
        <v>15</v>
      </c>
      <c r="K74" s="2">
        <f t="shared" si="16"/>
        <v>75.8</v>
      </c>
      <c r="L74" t="str">
        <f t="shared" si="12"/>
        <v>maio</v>
      </c>
      <c r="M74" t="str">
        <f t="shared" si="13"/>
        <v>Consumido</v>
      </c>
      <c r="N74">
        <f t="shared" si="14"/>
        <v>5</v>
      </c>
      <c r="O74" s="3" t="str">
        <f t="shared" si="15"/>
        <v>Até 7 dias</v>
      </c>
    </row>
    <row r="75" spans="1:15" x14ac:dyDescent="0.3">
      <c r="A75">
        <v>74</v>
      </c>
      <c r="B75" s="1">
        <v>46167</v>
      </c>
      <c r="C75" t="s">
        <v>30</v>
      </c>
      <c r="D75" t="s">
        <v>31</v>
      </c>
      <c r="E75">
        <v>5</v>
      </c>
      <c r="F75" s="2">
        <v>3.8</v>
      </c>
      <c r="G75" t="s">
        <v>13</v>
      </c>
      <c r="H75" s="1">
        <v>46173</v>
      </c>
      <c r="I75" t="s">
        <v>14</v>
      </c>
      <c r="J75" t="s">
        <v>15</v>
      </c>
      <c r="K75" s="2">
        <f t="shared" si="16"/>
        <v>19</v>
      </c>
      <c r="L75" t="str">
        <f t="shared" si="12"/>
        <v>maio</v>
      </c>
      <c r="M75" t="str">
        <f t="shared" si="13"/>
        <v>Consumido</v>
      </c>
      <c r="N75">
        <f t="shared" si="14"/>
        <v>6</v>
      </c>
      <c r="O75" s="3" t="str">
        <f t="shared" si="15"/>
        <v>Até 7 dias</v>
      </c>
    </row>
    <row r="76" spans="1:15" x14ac:dyDescent="0.3">
      <c r="A76">
        <v>75</v>
      </c>
      <c r="B76" s="1">
        <v>46169</v>
      </c>
      <c r="C76" t="s">
        <v>33</v>
      </c>
      <c r="D76" t="s">
        <v>17</v>
      </c>
      <c r="E76">
        <v>6</v>
      </c>
      <c r="F76" s="2">
        <v>4</v>
      </c>
      <c r="G76" t="s">
        <v>18</v>
      </c>
      <c r="H76" s="1">
        <v>46176</v>
      </c>
      <c r="I76" t="s">
        <v>14</v>
      </c>
      <c r="J76" t="s">
        <v>15</v>
      </c>
      <c r="K76" s="2">
        <f t="shared" si="16"/>
        <v>24</v>
      </c>
      <c r="L76" t="str">
        <f t="shared" si="12"/>
        <v>maio</v>
      </c>
      <c r="M76" t="str">
        <f t="shared" si="13"/>
        <v>Consumido</v>
      </c>
      <c r="N76">
        <f t="shared" si="14"/>
        <v>7</v>
      </c>
      <c r="O76" s="3" t="str">
        <f t="shared" si="15"/>
        <v>Até 7 dias</v>
      </c>
    </row>
    <row r="77" spans="1:15" x14ac:dyDescent="0.3">
      <c r="A77">
        <v>76</v>
      </c>
      <c r="B77" s="1">
        <v>46171</v>
      </c>
      <c r="C77" t="s">
        <v>40</v>
      </c>
      <c r="D77" t="s">
        <v>23</v>
      </c>
      <c r="E77">
        <v>6</v>
      </c>
      <c r="F77" s="2">
        <v>1.7</v>
      </c>
      <c r="G77" t="s">
        <v>21</v>
      </c>
      <c r="H77" s="1">
        <v>46178</v>
      </c>
      <c r="I77" t="s">
        <v>14</v>
      </c>
      <c r="J77" t="s">
        <v>15</v>
      </c>
      <c r="K77" s="2">
        <f t="shared" si="16"/>
        <v>10.199999999999999</v>
      </c>
      <c r="L77" t="str">
        <f t="shared" si="12"/>
        <v>maio</v>
      </c>
      <c r="M77" t="str">
        <f t="shared" si="13"/>
        <v>Consumido</v>
      </c>
      <c r="N77">
        <f t="shared" si="14"/>
        <v>7</v>
      </c>
      <c r="O77" s="3" t="str">
        <f t="shared" si="15"/>
        <v>Até 7 dias</v>
      </c>
    </row>
    <row r="78" spans="1:15" x14ac:dyDescent="0.3">
      <c r="A78">
        <v>77</v>
      </c>
      <c r="B78" s="1">
        <v>46173</v>
      </c>
      <c r="C78" t="s">
        <v>37</v>
      </c>
      <c r="D78" t="s">
        <v>38</v>
      </c>
      <c r="E78">
        <v>1</v>
      </c>
      <c r="F78" s="2">
        <v>18.899999999999999</v>
      </c>
      <c r="G78" t="s">
        <v>27</v>
      </c>
      <c r="H78" s="1">
        <v>46356</v>
      </c>
      <c r="I78" t="s">
        <v>14</v>
      </c>
      <c r="J78" t="s">
        <v>15</v>
      </c>
      <c r="K78" s="2">
        <f t="shared" si="16"/>
        <v>18.899999999999999</v>
      </c>
      <c r="L78" t="str">
        <f t="shared" si="12"/>
        <v>maio</v>
      </c>
      <c r="M78" t="str">
        <f t="shared" si="13"/>
        <v>Consumido</v>
      </c>
      <c r="N78">
        <f t="shared" si="14"/>
        <v>183</v>
      </c>
      <c r="O78" s="3" t="str">
        <f t="shared" si="15"/>
        <v>Mais de 30 dias</v>
      </c>
    </row>
    <row r="79" spans="1:15" x14ac:dyDescent="0.3">
      <c r="A79">
        <v>78</v>
      </c>
      <c r="B79" s="1">
        <v>46175</v>
      </c>
      <c r="C79" t="s">
        <v>28</v>
      </c>
      <c r="D79" t="s">
        <v>12</v>
      </c>
      <c r="E79">
        <v>3</v>
      </c>
      <c r="F79" s="2">
        <v>7.5</v>
      </c>
      <c r="G79" t="s">
        <v>13</v>
      </c>
      <c r="H79" s="1">
        <v>46358</v>
      </c>
      <c r="I79" t="s">
        <v>14</v>
      </c>
      <c r="J79" t="s">
        <v>15</v>
      </c>
      <c r="K79" s="2">
        <f t="shared" si="16"/>
        <v>22.5</v>
      </c>
      <c r="L79" t="str">
        <f t="shared" si="12"/>
        <v>junho</v>
      </c>
      <c r="M79" t="str">
        <f t="shared" si="13"/>
        <v>Consumido</v>
      </c>
      <c r="N79">
        <f t="shared" si="14"/>
        <v>183</v>
      </c>
      <c r="O79" s="3" t="str">
        <f t="shared" si="15"/>
        <v>Mais de 30 dias</v>
      </c>
    </row>
    <row r="80" spans="1:15" x14ac:dyDescent="0.3">
      <c r="A80">
        <v>79</v>
      </c>
      <c r="B80" s="1">
        <v>46177</v>
      </c>
      <c r="C80" t="s">
        <v>41</v>
      </c>
      <c r="D80" t="s">
        <v>31</v>
      </c>
      <c r="E80">
        <v>4</v>
      </c>
      <c r="F80" s="2">
        <v>3.2</v>
      </c>
      <c r="G80" t="s">
        <v>18</v>
      </c>
      <c r="H80" s="1">
        <v>46183</v>
      </c>
      <c r="I80" t="s">
        <v>14</v>
      </c>
      <c r="J80" t="s">
        <v>15</v>
      </c>
      <c r="K80" s="2">
        <f t="shared" si="16"/>
        <v>12.8</v>
      </c>
      <c r="L80" t="str">
        <f t="shared" si="12"/>
        <v>junho</v>
      </c>
      <c r="M80" t="str">
        <f t="shared" si="13"/>
        <v>Consumido</v>
      </c>
      <c r="N80">
        <f t="shared" si="14"/>
        <v>6</v>
      </c>
      <c r="O80" s="3" t="str">
        <f t="shared" si="15"/>
        <v>Até 7 dias</v>
      </c>
    </row>
    <row r="81" spans="1:15" x14ac:dyDescent="0.3">
      <c r="A81">
        <v>80</v>
      </c>
      <c r="B81" s="1">
        <v>46179</v>
      </c>
      <c r="C81" t="s">
        <v>42</v>
      </c>
      <c r="D81" t="s">
        <v>23</v>
      </c>
      <c r="E81">
        <v>2</v>
      </c>
      <c r="F81" s="2">
        <v>9.5</v>
      </c>
      <c r="G81" t="s">
        <v>21</v>
      </c>
      <c r="H81" s="1">
        <v>46183</v>
      </c>
      <c r="I81" t="s">
        <v>15</v>
      </c>
      <c r="J81" t="s">
        <v>14</v>
      </c>
      <c r="K81" s="2">
        <f t="shared" si="16"/>
        <v>19</v>
      </c>
      <c r="L81" t="str">
        <f t="shared" si="12"/>
        <v>junho</v>
      </c>
      <c r="M81" t="str">
        <f t="shared" si="13"/>
        <v>Desperdiçado</v>
      </c>
      <c r="N81">
        <f t="shared" si="14"/>
        <v>4</v>
      </c>
      <c r="O81" s="3" t="str">
        <f t="shared" si="15"/>
        <v>Até 7 dias</v>
      </c>
    </row>
    <row r="82" spans="1:15" x14ac:dyDescent="0.3">
      <c r="A82">
        <v>81</v>
      </c>
      <c r="B82" s="1">
        <v>46181</v>
      </c>
      <c r="C82" t="s">
        <v>43</v>
      </c>
      <c r="D82" t="s">
        <v>17</v>
      </c>
      <c r="E82">
        <v>1</v>
      </c>
      <c r="F82" s="2">
        <v>20</v>
      </c>
      <c r="G82" t="s">
        <v>27</v>
      </c>
      <c r="H82" s="1">
        <v>46188</v>
      </c>
      <c r="I82" t="s">
        <v>14</v>
      </c>
      <c r="J82" t="s">
        <v>15</v>
      </c>
      <c r="K82" s="2">
        <f t="shared" si="16"/>
        <v>20</v>
      </c>
      <c r="L82" t="str">
        <f t="shared" si="12"/>
        <v>junho</v>
      </c>
      <c r="M82" t="str">
        <f t="shared" si="13"/>
        <v>Consumido</v>
      </c>
      <c r="N82">
        <f t="shared" si="14"/>
        <v>7</v>
      </c>
      <c r="O82" s="3" t="str">
        <f t="shared" si="15"/>
        <v>Até 7 dias</v>
      </c>
    </row>
    <row r="83" spans="1:15" x14ac:dyDescent="0.3">
      <c r="A83">
        <v>82</v>
      </c>
      <c r="B83" s="1">
        <v>46183</v>
      </c>
      <c r="C83" t="s">
        <v>19</v>
      </c>
      <c r="D83" t="s">
        <v>20</v>
      </c>
      <c r="E83">
        <v>3</v>
      </c>
      <c r="F83" s="2">
        <v>17.8</v>
      </c>
      <c r="G83" t="s">
        <v>13</v>
      </c>
      <c r="H83" s="1">
        <v>46190</v>
      </c>
      <c r="I83" t="s">
        <v>14</v>
      </c>
      <c r="J83" t="s">
        <v>15</v>
      </c>
      <c r="K83" s="2">
        <f t="shared" ref="K83:K101" si="17">E83*F83</f>
        <v>53.400000000000006</v>
      </c>
      <c r="L83" t="str">
        <f t="shared" si="12"/>
        <v>junho</v>
      </c>
      <c r="M83" t="str">
        <f t="shared" si="13"/>
        <v>Consumido</v>
      </c>
      <c r="N83">
        <f t="shared" si="14"/>
        <v>7</v>
      </c>
      <c r="O83" s="3" t="str">
        <f t="shared" si="15"/>
        <v>Até 7 dias</v>
      </c>
    </row>
    <row r="84" spans="1:15" x14ac:dyDescent="0.3">
      <c r="A84">
        <v>83</v>
      </c>
      <c r="B84" s="1">
        <v>46185</v>
      </c>
      <c r="C84" t="s">
        <v>11</v>
      </c>
      <c r="D84" t="s">
        <v>12</v>
      </c>
      <c r="E84">
        <v>2</v>
      </c>
      <c r="F84" s="2">
        <v>7.4</v>
      </c>
      <c r="G84" t="s">
        <v>18</v>
      </c>
      <c r="H84" s="1">
        <v>46368</v>
      </c>
      <c r="I84" t="s">
        <v>14</v>
      </c>
      <c r="J84" t="s">
        <v>15</v>
      </c>
      <c r="K84" s="2">
        <f t="shared" si="17"/>
        <v>14.8</v>
      </c>
      <c r="L84" t="str">
        <f t="shared" si="12"/>
        <v>junho</v>
      </c>
      <c r="M84" t="str">
        <f t="shared" si="13"/>
        <v>Consumido</v>
      </c>
      <c r="N84">
        <f t="shared" si="14"/>
        <v>183</v>
      </c>
      <c r="O84" s="3" t="str">
        <f t="shared" si="15"/>
        <v>Mais de 30 dias</v>
      </c>
    </row>
    <row r="85" spans="1:15" x14ac:dyDescent="0.3">
      <c r="A85">
        <v>84</v>
      </c>
      <c r="B85" s="1">
        <v>46187</v>
      </c>
      <c r="C85" t="s">
        <v>30</v>
      </c>
      <c r="D85" t="s">
        <v>31</v>
      </c>
      <c r="E85">
        <v>4</v>
      </c>
      <c r="F85" s="2">
        <v>3.9</v>
      </c>
      <c r="G85" t="s">
        <v>21</v>
      </c>
      <c r="H85" s="1">
        <v>46193</v>
      </c>
      <c r="I85" t="s">
        <v>14</v>
      </c>
      <c r="J85" t="s">
        <v>15</v>
      </c>
      <c r="K85" s="2">
        <f t="shared" si="17"/>
        <v>15.6</v>
      </c>
      <c r="L85" t="str">
        <f t="shared" si="12"/>
        <v>junho</v>
      </c>
      <c r="M85" t="str">
        <f t="shared" si="13"/>
        <v>Consumido</v>
      </c>
      <c r="N85">
        <f t="shared" si="14"/>
        <v>6</v>
      </c>
      <c r="O85" s="3" t="str">
        <f t="shared" si="15"/>
        <v>Até 7 dias</v>
      </c>
    </row>
    <row r="86" spans="1:15" x14ac:dyDescent="0.3">
      <c r="A86">
        <v>85</v>
      </c>
      <c r="B86" s="1">
        <v>46189</v>
      </c>
      <c r="C86" t="s">
        <v>16</v>
      </c>
      <c r="D86" t="s">
        <v>17</v>
      </c>
      <c r="E86">
        <v>3</v>
      </c>
      <c r="F86" s="2">
        <v>5.7</v>
      </c>
      <c r="G86" t="s">
        <v>27</v>
      </c>
      <c r="H86" s="1">
        <v>46198</v>
      </c>
      <c r="I86" t="s">
        <v>14</v>
      </c>
      <c r="J86" t="s">
        <v>15</v>
      </c>
      <c r="K86" s="2">
        <f t="shared" si="17"/>
        <v>17.100000000000001</v>
      </c>
      <c r="L86" t="str">
        <f t="shared" si="12"/>
        <v>junho</v>
      </c>
      <c r="M86" t="str">
        <f t="shared" si="13"/>
        <v>Consumido</v>
      </c>
      <c r="N86">
        <f t="shared" si="14"/>
        <v>9</v>
      </c>
      <c r="O86" s="3" t="str">
        <f t="shared" si="15"/>
        <v>8 a 30 dias</v>
      </c>
    </row>
    <row r="87" spans="1:15" x14ac:dyDescent="0.3">
      <c r="A87">
        <v>86</v>
      </c>
      <c r="B87" s="1">
        <v>46191</v>
      </c>
      <c r="C87" t="s">
        <v>22</v>
      </c>
      <c r="D87" t="s">
        <v>23</v>
      </c>
      <c r="E87">
        <v>7</v>
      </c>
      <c r="F87" s="2">
        <v>1.45</v>
      </c>
      <c r="G87" t="s">
        <v>13</v>
      </c>
      <c r="H87" s="1">
        <v>46196</v>
      </c>
      <c r="I87" t="s">
        <v>14</v>
      </c>
      <c r="J87" t="s">
        <v>15</v>
      </c>
      <c r="K87" s="2">
        <f t="shared" si="17"/>
        <v>10.15</v>
      </c>
      <c r="L87" t="str">
        <f t="shared" si="12"/>
        <v>junho</v>
      </c>
      <c r="M87" t="str">
        <f t="shared" si="13"/>
        <v>Consumido</v>
      </c>
      <c r="N87">
        <f t="shared" si="14"/>
        <v>5</v>
      </c>
      <c r="O87" s="3" t="str">
        <f t="shared" si="15"/>
        <v>Até 7 dias</v>
      </c>
    </row>
    <row r="88" spans="1:15" x14ac:dyDescent="0.3">
      <c r="A88">
        <v>87</v>
      </c>
      <c r="B88" s="1">
        <v>46193</v>
      </c>
      <c r="C88" t="s">
        <v>25</v>
      </c>
      <c r="D88" t="s">
        <v>26</v>
      </c>
      <c r="E88">
        <v>2</v>
      </c>
      <c r="F88" s="2">
        <v>9.3000000000000007</v>
      </c>
      <c r="G88" t="s">
        <v>18</v>
      </c>
      <c r="H88" s="1">
        <v>46196</v>
      </c>
      <c r="I88" t="s">
        <v>14</v>
      </c>
      <c r="J88" t="s">
        <v>15</v>
      </c>
      <c r="K88" s="2">
        <f t="shared" si="17"/>
        <v>18.600000000000001</v>
      </c>
      <c r="L88" t="str">
        <f t="shared" si="12"/>
        <v>junho</v>
      </c>
      <c r="M88" t="str">
        <f t="shared" si="13"/>
        <v>Consumido</v>
      </c>
      <c r="N88">
        <f t="shared" si="14"/>
        <v>3</v>
      </c>
      <c r="O88" s="3" t="str">
        <f t="shared" si="15"/>
        <v>Até 7 dias</v>
      </c>
    </row>
    <row r="89" spans="1:15" x14ac:dyDescent="0.3">
      <c r="A89">
        <v>88</v>
      </c>
      <c r="B89" s="1">
        <v>46195</v>
      </c>
      <c r="C89" t="s">
        <v>34</v>
      </c>
      <c r="D89" t="s">
        <v>20</v>
      </c>
      <c r="E89">
        <v>1</v>
      </c>
      <c r="F89" s="2">
        <v>38.5</v>
      </c>
      <c r="G89" t="s">
        <v>21</v>
      </c>
      <c r="H89" s="1">
        <v>46200</v>
      </c>
      <c r="I89" t="s">
        <v>14</v>
      </c>
      <c r="J89" t="s">
        <v>15</v>
      </c>
      <c r="K89" s="2">
        <f t="shared" si="17"/>
        <v>38.5</v>
      </c>
      <c r="L89" t="str">
        <f t="shared" si="12"/>
        <v>junho</v>
      </c>
      <c r="M89" t="str">
        <f t="shared" si="13"/>
        <v>Consumido</v>
      </c>
      <c r="N89">
        <f t="shared" si="14"/>
        <v>5</v>
      </c>
      <c r="O89" s="3" t="str">
        <f t="shared" si="15"/>
        <v>Até 7 dias</v>
      </c>
    </row>
    <row r="90" spans="1:15" x14ac:dyDescent="0.3">
      <c r="A90">
        <v>89</v>
      </c>
      <c r="B90" s="1">
        <v>46197</v>
      </c>
      <c r="C90" t="s">
        <v>33</v>
      </c>
      <c r="D90" t="s">
        <v>17</v>
      </c>
      <c r="E90">
        <v>5</v>
      </c>
      <c r="F90" s="2">
        <v>4.2</v>
      </c>
      <c r="G90" t="s">
        <v>27</v>
      </c>
      <c r="H90" s="1">
        <v>46203</v>
      </c>
      <c r="I90" t="s">
        <v>14</v>
      </c>
      <c r="J90" t="s">
        <v>15</v>
      </c>
      <c r="K90" s="2">
        <f t="shared" si="17"/>
        <v>21</v>
      </c>
      <c r="L90" t="str">
        <f t="shared" si="12"/>
        <v>junho</v>
      </c>
      <c r="M90" t="str">
        <f t="shared" si="13"/>
        <v>Consumido</v>
      </c>
      <c r="N90">
        <f t="shared" si="14"/>
        <v>6</v>
      </c>
      <c r="O90" s="3" t="str">
        <f t="shared" si="15"/>
        <v>Até 7 dias</v>
      </c>
    </row>
    <row r="91" spans="1:15" x14ac:dyDescent="0.3">
      <c r="A91">
        <v>90</v>
      </c>
      <c r="B91" s="1">
        <v>46199</v>
      </c>
      <c r="C91" t="s">
        <v>32</v>
      </c>
      <c r="D91" t="s">
        <v>23</v>
      </c>
      <c r="E91">
        <v>6</v>
      </c>
      <c r="F91" s="2">
        <v>2.1</v>
      </c>
      <c r="G91" t="s">
        <v>13</v>
      </c>
      <c r="H91" s="1">
        <v>46205</v>
      </c>
      <c r="I91" t="s">
        <v>15</v>
      </c>
      <c r="J91" t="s">
        <v>14</v>
      </c>
      <c r="K91" s="2">
        <f t="shared" si="17"/>
        <v>12.600000000000001</v>
      </c>
      <c r="L91" t="str">
        <f t="shared" si="12"/>
        <v>junho</v>
      </c>
      <c r="M91" t="str">
        <f t="shared" si="13"/>
        <v>Desperdiçado</v>
      </c>
      <c r="N91">
        <f t="shared" si="14"/>
        <v>6</v>
      </c>
      <c r="O91" s="3" t="str">
        <f t="shared" si="15"/>
        <v>Até 7 dias</v>
      </c>
    </row>
    <row r="92" spans="1:15" x14ac:dyDescent="0.3">
      <c r="A92">
        <v>91</v>
      </c>
      <c r="B92" s="1">
        <v>46201</v>
      </c>
      <c r="C92" t="s">
        <v>35</v>
      </c>
      <c r="D92" t="s">
        <v>31</v>
      </c>
      <c r="E92">
        <v>3</v>
      </c>
      <c r="F92" s="2">
        <v>3.2</v>
      </c>
      <c r="G92" t="s">
        <v>18</v>
      </c>
      <c r="H92" s="1">
        <v>46208</v>
      </c>
      <c r="I92" t="s">
        <v>14</v>
      </c>
      <c r="J92" t="s">
        <v>15</v>
      </c>
      <c r="K92" s="2">
        <f t="shared" si="17"/>
        <v>9.6000000000000014</v>
      </c>
      <c r="L92" t="str">
        <f t="shared" si="12"/>
        <v>junho</v>
      </c>
      <c r="M92" t="str">
        <f t="shared" si="13"/>
        <v>Consumido</v>
      </c>
      <c r="N92">
        <f t="shared" si="14"/>
        <v>7</v>
      </c>
      <c r="O92" s="3" t="str">
        <f t="shared" si="15"/>
        <v>Até 7 dias</v>
      </c>
    </row>
    <row r="93" spans="1:15" x14ac:dyDescent="0.3">
      <c r="A93">
        <v>92</v>
      </c>
      <c r="B93" s="1">
        <v>46203</v>
      </c>
      <c r="C93" t="s">
        <v>37</v>
      </c>
      <c r="D93" t="s">
        <v>38</v>
      </c>
      <c r="E93">
        <v>2</v>
      </c>
      <c r="F93" s="2">
        <v>19.2</v>
      </c>
      <c r="G93" t="s">
        <v>21</v>
      </c>
      <c r="H93" s="1">
        <v>46386</v>
      </c>
      <c r="I93" t="s">
        <v>14</v>
      </c>
      <c r="J93" t="s">
        <v>15</v>
      </c>
      <c r="K93" s="2">
        <f t="shared" si="17"/>
        <v>38.4</v>
      </c>
      <c r="L93" t="str">
        <f t="shared" si="12"/>
        <v>junho</v>
      </c>
      <c r="M93" t="str">
        <f t="shared" si="13"/>
        <v>Consumido</v>
      </c>
      <c r="N93">
        <f t="shared" si="14"/>
        <v>183</v>
      </c>
      <c r="O93" s="3" t="str">
        <f t="shared" si="15"/>
        <v>Mais de 30 dias</v>
      </c>
    </row>
    <row r="94" spans="1:15" x14ac:dyDescent="0.3">
      <c r="A94">
        <v>93</v>
      </c>
      <c r="B94" s="1">
        <v>46175</v>
      </c>
      <c r="C94" t="s">
        <v>28</v>
      </c>
      <c r="D94" t="s">
        <v>12</v>
      </c>
      <c r="E94">
        <v>3</v>
      </c>
      <c r="F94" s="2">
        <v>7.6</v>
      </c>
      <c r="G94" t="s">
        <v>27</v>
      </c>
      <c r="H94" s="1">
        <v>46358</v>
      </c>
      <c r="I94" t="s">
        <v>14</v>
      </c>
      <c r="J94" t="s">
        <v>15</v>
      </c>
      <c r="K94" s="2">
        <f t="shared" si="17"/>
        <v>22.799999999999997</v>
      </c>
      <c r="L94" t="str">
        <f t="shared" si="12"/>
        <v>junho</v>
      </c>
      <c r="M94" t="str">
        <f t="shared" si="13"/>
        <v>Consumido</v>
      </c>
      <c r="N94">
        <f t="shared" si="14"/>
        <v>183</v>
      </c>
      <c r="O94" s="3" t="str">
        <f t="shared" si="15"/>
        <v>Mais de 30 dias</v>
      </c>
    </row>
    <row r="95" spans="1:15" x14ac:dyDescent="0.3">
      <c r="A95">
        <v>94</v>
      </c>
      <c r="B95" s="1">
        <v>46177</v>
      </c>
      <c r="C95" t="s">
        <v>42</v>
      </c>
      <c r="D95" t="s">
        <v>23</v>
      </c>
      <c r="E95">
        <v>2</v>
      </c>
      <c r="F95" s="2">
        <v>9.8000000000000007</v>
      </c>
      <c r="G95" t="s">
        <v>13</v>
      </c>
      <c r="H95" s="1">
        <v>46181</v>
      </c>
      <c r="I95" t="s">
        <v>15</v>
      </c>
      <c r="J95" t="s">
        <v>14</v>
      </c>
      <c r="K95" s="2">
        <f t="shared" si="17"/>
        <v>19.600000000000001</v>
      </c>
      <c r="L95" t="str">
        <f t="shared" si="12"/>
        <v>junho</v>
      </c>
      <c r="M95" t="str">
        <f t="shared" si="13"/>
        <v>Desperdiçado</v>
      </c>
      <c r="N95">
        <f t="shared" si="14"/>
        <v>4</v>
      </c>
      <c r="O95" s="3" t="str">
        <f t="shared" si="15"/>
        <v>Até 7 dias</v>
      </c>
    </row>
    <row r="96" spans="1:15" x14ac:dyDescent="0.3">
      <c r="A96">
        <v>95</v>
      </c>
      <c r="B96" s="1">
        <v>46179</v>
      </c>
      <c r="C96" t="s">
        <v>41</v>
      </c>
      <c r="D96" t="s">
        <v>31</v>
      </c>
      <c r="E96">
        <v>5</v>
      </c>
      <c r="F96" s="2">
        <v>3.3</v>
      </c>
      <c r="G96" t="s">
        <v>18</v>
      </c>
      <c r="H96" s="1">
        <v>46185</v>
      </c>
      <c r="I96" t="s">
        <v>14</v>
      </c>
      <c r="J96" t="s">
        <v>15</v>
      </c>
      <c r="K96" s="2">
        <f t="shared" si="17"/>
        <v>16.5</v>
      </c>
      <c r="L96" t="str">
        <f t="shared" si="12"/>
        <v>junho</v>
      </c>
      <c r="M96" t="str">
        <f t="shared" si="13"/>
        <v>Consumido</v>
      </c>
      <c r="N96">
        <f t="shared" si="14"/>
        <v>6</v>
      </c>
      <c r="O96" s="3" t="str">
        <f t="shared" si="15"/>
        <v>Até 7 dias</v>
      </c>
    </row>
    <row r="97" spans="1:15" x14ac:dyDescent="0.3">
      <c r="A97">
        <v>96</v>
      </c>
      <c r="B97" s="1">
        <v>46181</v>
      </c>
      <c r="C97" t="s">
        <v>43</v>
      </c>
      <c r="D97" t="s">
        <v>17</v>
      </c>
      <c r="E97">
        <v>2</v>
      </c>
      <c r="F97" s="2">
        <v>20.5</v>
      </c>
      <c r="G97" t="s">
        <v>21</v>
      </c>
      <c r="H97" s="1">
        <v>46191</v>
      </c>
      <c r="I97" t="s">
        <v>14</v>
      </c>
      <c r="J97" t="s">
        <v>15</v>
      </c>
      <c r="K97" s="2">
        <f t="shared" si="17"/>
        <v>41</v>
      </c>
      <c r="L97" t="str">
        <f t="shared" si="12"/>
        <v>junho</v>
      </c>
      <c r="M97" t="str">
        <f t="shared" si="13"/>
        <v>Consumido</v>
      </c>
      <c r="N97">
        <f t="shared" si="14"/>
        <v>10</v>
      </c>
      <c r="O97" s="3" t="str">
        <f t="shared" si="15"/>
        <v>8 a 30 dias</v>
      </c>
    </row>
    <row r="98" spans="1:15" x14ac:dyDescent="0.3">
      <c r="A98">
        <v>97</v>
      </c>
      <c r="B98" s="1">
        <v>46183</v>
      </c>
      <c r="C98" t="s">
        <v>29</v>
      </c>
      <c r="D98" t="s">
        <v>12</v>
      </c>
      <c r="E98">
        <v>3</v>
      </c>
      <c r="F98" s="2">
        <v>5</v>
      </c>
      <c r="G98" t="s">
        <v>27</v>
      </c>
      <c r="H98" s="1">
        <v>46366</v>
      </c>
      <c r="I98" t="s">
        <v>14</v>
      </c>
      <c r="J98" t="s">
        <v>15</v>
      </c>
      <c r="K98" s="2">
        <f t="shared" si="17"/>
        <v>15</v>
      </c>
      <c r="L98" t="str">
        <f t="shared" si="12"/>
        <v>junho</v>
      </c>
      <c r="M98" t="str">
        <f t="shared" si="13"/>
        <v>Consumido</v>
      </c>
      <c r="N98">
        <f t="shared" si="14"/>
        <v>183</v>
      </c>
      <c r="O98" s="3" t="str">
        <f t="shared" ref="O98:O129" si="18">IF(N98&lt;=7,"Até 7 dias",IF(N98&lt;=30,"8 a 30 dias","Mais de 30 dias"))</f>
        <v>Mais de 30 dias</v>
      </c>
    </row>
    <row r="99" spans="1:15" x14ac:dyDescent="0.3">
      <c r="A99">
        <v>98</v>
      </c>
      <c r="B99" s="1">
        <v>46185</v>
      </c>
      <c r="C99" t="s">
        <v>40</v>
      </c>
      <c r="D99" t="s">
        <v>23</v>
      </c>
      <c r="E99">
        <v>5</v>
      </c>
      <c r="F99" s="2">
        <v>1.8</v>
      </c>
      <c r="G99" t="s">
        <v>13</v>
      </c>
      <c r="H99" s="1">
        <v>46191</v>
      </c>
      <c r="I99" t="s">
        <v>14</v>
      </c>
      <c r="J99" t="s">
        <v>15</v>
      </c>
      <c r="K99" s="2">
        <f t="shared" si="17"/>
        <v>9</v>
      </c>
      <c r="L99" t="str">
        <f t="shared" si="12"/>
        <v>junho</v>
      </c>
      <c r="M99" t="str">
        <f t="shared" si="13"/>
        <v>Consumido</v>
      </c>
      <c r="N99">
        <f t="shared" si="14"/>
        <v>6</v>
      </c>
      <c r="O99" s="3" t="str">
        <f t="shared" si="18"/>
        <v>Até 7 dias</v>
      </c>
    </row>
    <row r="100" spans="1:15" x14ac:dyDescent="0.3">
      <c r="A100">
        <v>99</v>
      </c>
      <c r="B100" s="1">
        <v>46187</v>
      </c>
      <c r="C100" t="s">
        <v>39</v>
      </c>
      <c r="D100" t="s">
        <v>31</v>
      </c>
      <c r="E100">
        <v>2</v>
      </c>
      <c r="F100" s="2">
        <v>3.6</v>
      </c>
      <c r="G100" t="s">
        <v>18</v>
      </c>
      <c r="H100" s="1">
        <v>46191</v>
      </c>
      <c r="I100" t="s">
        <v>15</v>
      </c>
      <c r="J100" t="s">
        <v>14</v>
      </c>
      <c r="K100" s="2">
        <f t="shared" si="17"/>
        <v>7.2</v>
      </c>
      <c r="L100" t="str">
        <f t="shared" si="12"/>
        <v>junho</v>
      </c>
      <c r="M100" t="str">
        <f t="shared" si="13"/>
        <v>Desperdiçado</v>
      </c>
      <c r="N100">
        <f t="shared" si="14"/>
        <v>4</v>
      </c>
      <c r="O100" s="3" t="str">
        <f t="shared" si="18"/>
        <v>Até 7 dias</v>
      </c>
    </row>
    <row r="101" spans="1:15" x14ac:dyDescent="0.3">
      <c r="A101">
        <v>100</v>
      </c>
      <c r="B101" s="1">
        <v>46189</v>
      </c>
      <c r="C101" t="s">
        <v>44</v>
      </c>
      <c r="D101" t="s">
        <v>20</v>
      </c>
      <c r="E101">
        <v>2</v>
      </c>
      <c r="F101" s="2">
        <v>23.5</v>
      </c>
      <c r="G101" t="s">
        <v>21</v>
      </c>
      <c r="H101" s="1">
        <v>46193</v>
      </c>
      <c r="I101" t="s">
        <v>14</v>
      </c>
      <c r="J101" t="s">
        <v>15</v>
      </c>
      <c r="K101" s="2">
        <f>E101*F101</f>
        <v>47</v>
      </c>
      <c r="L101" t="str">
        <f t="shared" si="12"/>
        <v>junho</v>
      </c>
      <c r="M101" t="str">
        <f t="shared" si="13"/>
        <v>Consumido</v>
      </c>
      <c r="N101">
        <f t="shared" si="14"/>
        <v>4</v>
      </c>
      <c r="O101" s="3" t="str">
        <f t="shared" si="18"/>
        <v>Até 7 dias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FB592-30DB-4EAC-B102-474678D68928}">
  <dimension ref="A1:J25"/>
  <sheetViews>
    <sheetView topLeftCell="B1" workbookViewId="0">
      <selection activeCell="D15" sqref="D15"/>
    </sheetView>
  </sheetViews>
  <sheetFormatPr defaultRowHeight="14.4" x14ac:dyDescent="0.3"/>
  <cols>
    <col min="1" max="1" width="37.77734375" bestFit="1" customWidth="1"/>
    <col min="2" max="2" width="10.5546875" bestFit="1" customWidth="1"/>
    <col min="4" max="4" width="11.5546875" bestFit="1" customWidth="1"/>
    <col min="5" max="5" width="16.6640625" bestFit="1" customWidth="1"/>
    <col min="6" max="6" width="17.33203125" bestFit="1" customWidth="1"/>
    <col min="8" max="8" width="15" bestFit="1" customWidth="1"/>
    <col min="9" max="9" width="16.6640625" bestFit="1" customWidth="1"/>
    <col min="10" max="10" width="17.5546875" bestFit="1" customWidth="1"/>
  </cols>
  <sheetData>
    <row r="1" spans="1:10" x14ac:dyDescent="0.3">
      <c r="A1" t="s">
        <v>49</v>
      </c>
    </row>
    <row r="3" spans="1:10" x14ac:dyDescent="0.3">
      <c r="A3" t="s">
        <v>50</v>
      </c>
      <c r="B3" s="2">
        <f>SUM(Tabela1[Valor Total])</f>
        <v>2077.1499999999996</v>
      </c>
      <c r="D3" t="s">
        <v>3</v>
      </c>
      <c r="E3" t="s">
        <v>51</v>
      </c>
      <c r="F3" t="s">
        <v>54</v>
      </c>
    </row>
    <row r="4" spans="1:10" x14ac:dyDescent="0.3">
      <c r="A4" t="s">
        <v>51</v>
      </c>
      <c r="B4" s="2">
        <f>SUMIF(Tabela1[Status],"Desperdiçado",Tabela1[Valor Total])</f>
        <v>179.79999999999998</v>
      </c>
      <c r="D4" t="s">
        <v>12</v>
      </c>
      <c r="E4" s="2">
        <f>SUMIFS(Tabela1[Valor Total],Tabela1[Categoria],D4,Tabela1[Status],"Desperdiçado")</f>
        <v>0</v>
      </c>
      <c r="F4">
        <f>SUMIFS(Tabela1[Quantidade],Tabela1[Categoria],D4,Tabela1[Status],"Desperdiçado")</f>
        <v>0</v>
      </c>
      <c r="H4" s="2">
        <f>SUM(E4:E10)</f>
        <v>179.79999999999998</v>
      </c>
    </row>
    <row r="5" spans="1:10" x14ac:dyDescent="0.3">
      <c r="A5" t="s">
        <v>52</v>
      </c>
      <c r="B5" s="4">
        <f>B4/B3</f>
        <v>8.6560912789158229E-2</v>
      </c>
      <c r="D5" t="s">
        <v>17</v>
      </c>
      <c r="E5" s="2">
        <f>SUMIFS(Tabela1[Valor Total],Tabela1[Categoria],D5,Tabela1[Status],"Desperdiçado")</f>
        <v>18.899999999999999</v>
      </c>
      <c r="F5">
        <f>SUMIFS(Tabela1[Quantidade],Tabela1[Categoria],D5,Tabela1[Status],"Desperdiçado")</f>
        <v>1</v>
      </c>
      <c r="H5">
        <f>COUNTIF(Tabela1[Status],"Desperdiçado")</f>
        <v>12</v>
      </c>
    </row>
    <row r="6" spans="1:10" x14ac:dyDescent="0.3">
      <c r="A6" t="s">
        <v>53</v>
      </c>
      <c r="B6">
        <f>SUM(Tabela1[Quantidade])</f>
        <v>343</v>
      </c>
      <c r="D6" t="s">
        <v>20</v>
      </c>
      <c r="E6" s="2">
        <f>SUMIFS(Tabela1[Valor Total],Tabela1[Categoria],D6,Tabela1[Status],"Desperdiçado")</f>
        <v>0</v>
      </c>
      <c r="F6">
        <f>SUMIFS(Tabela1[Quantidade],Tabela1[Categoria],D6,Tabela1[Status],"Desperdiçado")</f>
        <v>0</v>
      </c>
      <c r="H6" s="2">
        <f>SUM(E4:E10)</f>
        <v>179.79999999999998</v>
      </c>
    </row>
    <row r="7" spans="1:10" x14ac:dyDescent="0.3">
      <c r="A7" t="s">
        <v>54</v>
      </c>
      <c r="B7">
        <f>SUMIF(Tabela1[Status],"Desperdiçado",Tabela1[Quantidade])</f>
        <v>31</v>
      </c>
      <c r="D7" t="s">
        <v>23</v>
      </c>
      <c r="E7" s="2">
        <f>SUMIFS(Tabela1[Valor Total],Tabela1[Categoria],D7,Tabela1[Status],"Desperdiçado")</f>
        <v>123.29999999999998</v>
      </c>
      <c r="F7">
        <f>SUMIFS(Tabela1[Quantidade],Tabela1[Categoria],D7,Tabela1[Status],"Desperdiçado")</f>
        <v>22</v>
      </c>
      <c r="H7" s="2">
        <f>SUM(E4:E10)</f>
        <v>179.79999999999998</v>
      </c>
    </row>
    <row r="8" spans="1:10" x14ac:dyDescent="0.3">
      <c r="A8" t="s">
        <v>55</v>
      </c>
      <c r="B8">
        <f>SUMIF(Tabela1[Status],"Consumido",Tabela1[Quantidade])</f>
        <v>312</v>
      </c>
      <c r="D8" t="s">
        <v>26</v>
      </c>
      <c r="E8" s="2">
        <f>SUMIFS(Tabela1[Valor Total],Tabela1[Categoria],D8,Tabela1[Status],"Desperdiçado")</f>
        <v>17</v>
      </c>
      <c r="F8">
        <f>SUMIFS(Tabela1[Quantidade],Tabela1[Categoria],D8,Tabela1[Status],"Desperdiçado")</f>
        <v>2</v>
      </c>
      <c r="H8" t="s">
        <v>6</v>
      </c>
      <c r="I8" t="s">
        <v>51</v>
      </c>
      <c r="J8" t="s">
        <v>57</v>
      </c>
    </row>
    <row r="9" spans="1:10" x14ac:dyDescent="0.3">
      <c r="D9" t="s">
        <v>56</v>
      </c>
      <c r="E9" s="2">
        <f>SUMIFS(Tabela1[Valor Total],Tabela1[Categoria],D9&amp;"*",Tabela1[Status],"Desperdiçado")</f>
        <v>20.6</v>
      </c>
      <c r="F9">
        <f>SUMIFS(Tabela1[Quantidade],Tabela1[Categoria],D9&amp;"*",Tabela1[Status],"Desperdiçado")</f>
        <v>6</v>
      </c>
      <c r="H9" t="s">
        <v>27</v>
      </c>
      <c r="I9">
        <f>SUMIFS(Tabela1[Valor Total],Tabela1[Supermercado],H9&amp;"*",Tabela1[Status],"Desperdiçado")</f>
        <v>24</v>
      </c>
      <c r="J9">
        <f>SUMIFS(Tabela1[Quantidade],Tabela1[Supermercado],H9&amp;"*",Tabela1[Status],"Desperdiçado")</f>
        <v>4</v>
      </c>
    </row>
    <row r="10" spans="1:10" x14ac:dyDescent="0.3">
      <c r="D10" t="s">
        <v>38</v>
      </c>
      <c r="E10" s="2">
        <f>SUMIFS(Tabela1[Valor Total],Tabela1[Categoria],D10,Tabela1[Status],"Desperdiçado")</f>
        <v>0</v>
      </c>
      <c r="F10">
        <f>SUMIFS(Tabela1[Quantidade],Tabela1[Categoria],D10,Tabela1[Status],"Desperdiçado")</f>
        <v>0</v>
      </c>
      <c r="H10" t="s">
        <v>13</v>
      </c>
      <c r="I10">
        <f>SUMIFS(Tabela1[Valor Total],Tabela1[Supermercado],H10&amp;"*",Tabela1[Status],"Desperdiçado")</f>
        <v>84.199999999999989</v>
      </c>
      <c r="J10">
        <f>SUMIFS(Tabela1[Quantidade],Tabela1[Supermercado],H10&amp;"*",Tabela1[Status],"Desperdiçado")</f>
        <v>14</v>
      </c>
    </row>
    <row r="11" spans="1:10" x14ac:dyDescent="0.3">
      <c r="H11" t="s">
        <v>21</v>
      </c>
      <c r="I11">
        <f>SUMIFS(Tabela1[Valor Total],Tabela1[Supermercado],H11&amp;"*",Tabela1[Status],"Desperdiçado")</f>
        <v>54.4</v>
      </c>
      <c r="J11">
        <f>SUMIFS(Tabela1[Quantidade],Tabela1[Supermercado],H11&amp;"*",Tabela1[Status],"Desperdiçado")</f>
        <v>6</v>
      </c>
    </row>
    <row r="12" spans="1:10" x14ac:dyDescent="0.3">
      <c r="H12" t="s">
        <v>18</v>
      </c>
      <c r="I12">
        <f>SUMIFS(Tabela1[Valor Total],Tabela1[Supermercado],H12&amp;"*",Tabela1[Status],"Desperdiçado")</f>
        <v>17.2</v>
      </c>
      <c r="J12">
        <f>SUMIFS(Tabela1[Quantidade],Tabela1[Supermercado],H12&amp;"*",Tabela1[Status],"Desperdiçado")</f>
        <v>7</v>
      </c>
    </row>
    <row r="15" spans="1:10" x14ac:dyDescent="0.3">
      <c r="D15" t="s">
        <v>2</v>
      </c>
      <c r="E15" t="s">
        <v>59</v>
      </c>
      <c r="F15" t="s">
        <v>57</v>
      </c>
      <c r="H15" t="s">
        <v>58</v>
      </c>
      <c r="I15" t="s">
        <v>59</v>
      </c>
      <c r="J15" t="s">
        <v>57</v>
      </c>
    </row>
    <row r="16" spans="1:10" x14ac:dyDescent="0.3">
      <c r="D16" t="s">
        <v>40</v>
      </c>
      <c r="E16">
        <f>SUMIFS(Tabela1[Valor Total],Tabela1[Produto],D16,Tabela1[Status],"Desperdiçado")</f>
        <v>0</v>
      </c>
      <c r="F16">
        <f>SUMIFS(Tabela1[Quantidade],Tabela1[Produto],D16,Tabela1[Status],"Desperdiçado")</f>
        <v>0</v>
      </c>
      <c r="H16" t="s">
        <v>60</v>
      </c>
      <c r="I16">
        <f>SUMIFS(Tabela1[Valor Total],Tabela1[Faixa de validade],H16,Tabela1[Status],"Desperdiçado")</f>
        <v>160.89999999999998</v>
      </c>
      <c r="J16">
        <f>SUMIFS(Tabela1[Quantidade],Tabela1[Faixa de validade],H16,Tabela1[Status],"Desperdiçado")</f>
        <v>30</v>
      </c>
    </row>
    <row r="17" spans="4:10" x14ac:dyDescent="0.3">
      <c r="D17" t="s">
        <v>42</v>
      </c>
      <c r="E17">
        <f>SUMIFS(Tabela1[Valor Total],Tabela1[Produto],D17,Tabela1[Status],"Desperdiçado")</f>
        <v>100.69999999999999</v>
      </c>
      <c r="F17">
        <f>SUMIFS(Tabela1[Quantidade],Tabela1[Produto],D17,Tabela1[Status],"Desperdiçado")</f>
        <v>11</v>
      </c>
      <c r="H17" t="s">
        <v>61</v>
      </c>
      <c r="I17">
        <f>SUMIFS(Tabela1[Valor Total],Tabela1[Faixa de validade],H17,Tabela1[Status],"Desperdiçado")</f>
        <v>18.899999999999999</v>
      </c>
      <c r="J17">
        <f>SUMIFS(Tabela1[Quantidade],Tabela1[Faixa de validade],H17,Tabela1[Status],"Desperdiçado")</f>
        <v>1</v>
      </c>
    </row>
    <row r="18" spans="4:10" x14ac:dyDescent="0.3">
      <c r="D18" t="s">
        <v>32</v>
      </c>
      <c r="E18">
        <f>SUMIFS(Tabela1[Valor Total],Tabela1[Produto],D18,Tabela1[Status],"Desperdiçado")</f>
        <v>22.6</v>
      </c>
      <c r="F18">
        <f>SUMIFS(Tabela1[Quantidade],Tabela1[Produto],D18,Tabela1[Status],"Desperdiçado")</f>
        <v>11</v>
      </c>
      <c r="H18" t="s">
        <v>62</v>
      </c>
      <c r="I18">
        <f>SUMIFS(Tabela1[Valor Total],Tabela1[Faixa de validade],H18,Tabela1[Status],"Desperdiçado")</f>
        <v>0</v>
      </c>
      <c r="J18">
        <f>SUMIFS(Tabela1[Quantidade],Tabela1[Faixa de validade],H18,Tabela1[Status],"Desperdiçado")</f>
        <v>0</v>
      </c>
    </row>
    <row r="19" spans="4:10" x14ac:dyDescent="0.3">
      <c r="D19" t="s">
        <v>39</v>
      </c>
      <c r="E19">
        <f>SUMIFS(Tabela1[Valor Total],Tabela1[Produto],D19,Tabela1[Status],"Desperdiçado")</f>
        <v>20.6</v>
      </c>
      <c r="F19">
        <f>SUMIFS(Tabela1[Quantidade],Tabela1[Produto],D19,Tabela1[Status],"Desperdiçado")</f>
        <v>6</v>
      </c>
    </row>
    <row r="20" spans="4:10" x14ac:dyDescent="0.3">
      <c r="D20" t="s">
        <v>30</v>
      </c>
      <c r="E20">
        <f>SUMIFS(Tabela1[Valor Total],Tabela1[Produto],D20,Tabela1[Status],"Desperdiçado")</f>
        <v>0</v>
      </c>
      <c r="F20">
        <f>SUMIFS(Tabela1[Quantidade],Tabela1[Produto],D20,Tabela1[Status],"Desperdiçado")</f>
        <v>0</v>
      </c>
    </row>
    <row r="21" spans="4:10" x14ac:dyDescent="0.3">
      <c r="D21" t="s">
        <v>16</v>
      </c>
      <c r="E21">
        <f>SUMIFS(Tabela1[Valor Total],Tabela1[Produto],D21,Tabela1[Status],"Desperdiçado")</f>
        <v>0</v>
      </c>
      <c r="F21">
        <f>SUMIFS(Tabela1[Quantidade],Tabela1[Produto],D21,Tabela1[Status],"Desperdiçado")</f>
        <v>0</v>
      </c>
    </row>
    <row r="22" spans="4:10" x14ac:dyDescent="0.3">
      <c r="D22" t="s">
        <v>25</v>
      </c>
      <c r="E22">
        <f>SUMIFS(Tabela1[Valor Total],Tabela1[Produto],D22,Tabela1[Status],"Desperdiçado")</f>
        <v>17</v>
      </c>
      <c r="F22">
        <f>SUMIFS(Tabela1[Quantidade],Tabela1[Produto],D22,Tabela1[Status],"Desperdiçado")</f>
        <v>2</v>
      </c>
    </row>
    <row r="23" spans="4:10" x14ac:dyDescent="0.3">
      <c r="D23" t="s">
        <v>63</v>
      </c>
      <c r="E23">
        <f>SUMIFS(Tabela1[Valor Total],Tabela1[Produto],D23,Tabela1[Status],"Desperdiçado")</f>
        <v>0</v>
      </c>
      <c r="F23">
        <f>SUMIFS(Tabela1[Quantidade],Tabela1[Produto],D23,Tabela1[Status],"Desperdiçado")</f>
        <v>0</v>
      </c>
    </row>
    <row r="24" spans="4:10" x14ac:dyDescent="0.3">
      <c r="D24" t="s">
        <v>33</v>
      </c>
      <c r="E24">
        <f>SUMIFS(Tabela1[Valor Total],Tabela1[Produto],D24,Tabela1[Status],"Desperdiçado")</f>
        <v>0</v>
      </c>
      <c r="F24">
        <f>SUMIFS(Tabela1[Quantidade],Tabela1[Produto],D24,Tabela1[Status],"Desperdiçado")</f>
        <v>0</v>
      </c>
    </row>
    <row r="25" spans="4:10" x14ac:dyDescent="0.3">
      <c r="D25" t="s">
        <v>35</v>
      </c>
      <c r="E25">
        <f>SUMIFS(Tabela1[Valor Total],Tabela1[Produto],D25,Tabela1[Status],"Desperdiçado")</f>
        <v>0</v>
      </c>
      <c r="F25">
        <f>SUMIFS(Tabela1[Quantidade],Tabela1[Produto],D25,Tabela1[Status],"Desperdiçado")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Compras</vt:lpstr>
      <vt:lpstr>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Morena da Silva Couto</dc:creator>
  <cp:lastModifiedBy>Maria Morena da Silva Couto</cp:lastModifiedBy>
  <dcterms:created xsi:type="dcterms:W3CDTF">2026-08-31T19:09:24Z</dcterms:created>
  <dcterms:modified xsi:type="dcterms:W3CDTF">2026-08-31T20:44:42Z</dcterms:modified>
</cp:coreProperties>
</file>